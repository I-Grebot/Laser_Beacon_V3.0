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35" windowWidth="23895" windowHeight="9945" activeTab="2"/>
  </bookViews>
  <sheets>
    <sheet name="CAN Protocol" sheetId="4" r:id="rId1"/>
    <sheet name="IGrebot's CAN" sheetId="1" r:id="rId2"/>
    <sheet name="CAN Messages Table" sheetId="2" r:id="rId3"/>
  </sheets>
  <calcPr calcId="145621"/>
</workbook>
</file>

<file path=xl/calcChain.xml><?xml version="1.0" encoding="utf-8"?>
<calcChain xmlns="http://schemas.openxmlformats.org/spreadsheetml/2006/main">
  <c r="K51" i="2" l="1"/>
  <c r="K54" i="2"/>
  <c r="K48" i="2"/>
  <c r="J51" i="2"/>
  <c r="J54" i="2"/>
  <c r="J48" i="2"/>
  <c r="I51" i="2"/>
  <c r="I54" i="2"/>
  <c r="I48" i="2"/>
  <c r="F51" i="2"/>
  <c r="F54" i="2"/>
  <c r="F48" i="2"/>
  <c r="I13" i="2" l="1"/>
  <c r="J13" i="2" s="1"/>
  <c r="K13" i="2" s="1"/>
  <c r="F13" i="2"/>
  <c r="I17" i="2"/>
  <c r="J17" i="2" s="1"/>
  <c r="K17" i="2" s="1"/>
  <c r="F17" i="2"/>
  <c r="F29" i="2" l="1"/>
  <c r="F58" i="2" l="1"/>
  <c r="F57" i="2"/>
  <c r="F42" i="2"/>
  <c r="I33" i="2"/>
  <c r="I31" i="2"/>
  <c r="I21" i="2"/>
  <c r="I9" i="2"/>
  <c r="J42" i="2"/>
  <c r="K42" i="2" s="1"/>
  <c r="I57" i="2"/>
  <c r="J57" i="2" s="1"/>
  <c r="K57" i="2" s="1"/>
  <c r="I58" i="2"/>
  <c r="J58" i="2" s="1"/>
  <c r="K58" i="2" s="1"/>
  <c r="F73" i="2"/>
  <c r="I73" i="2"/>
  <c r="J73" i="2" s="1"/>
  <c r="K73" i="2" s="1"/>
  <c r="I35" i="2"/>
  <c r="J35" i="2" s="1"/>
  <c r="K35" i="2" s="1"/>
  <c r="F35" i="2"/>
  <c r="I37" i="2"/>
  <c r="J37" i="2" s="1"/>
  <c r="K37" i="2" s="1"/>
  <c r="F37" i="2"/>
  <c r="J33" i="2"/>
  <c r="K33" i="2" s="1"/>
  <c r="F33" i="2"/>
  <c r="F27" i="2" l="1"/>
  <c r="I29" i="2" l="1"/>
  <c r="I27" i="2"/>
  <c r="I63" i="2"/>
  <c r="I61" i="2"/>
  <c r="I59" i="2"/>
  <c r="I39" i="2"/>
  <c r="I8" i="2"/>
  <c r="I5" i="2"/>
  <c r="F31" i="2"/>
  <c r="F39" i="2"/>
  <c r="F21" i="2"/>
  <c r="F9" i="2"/>
  <c r="F8" i="2"/>
  <c r="D5" i="4"/>
  <c r="D4" i="4"/>
  <c r="I65" i="2"/>
  <c r="I67" i="2"/>
  <c r="J67" i="2" s="1"/>
  <c r="K67" i="2" s="1"/>
  <c r="I69" i="2"/>
  <c r="I71" i="2"/>
  <c r="F61" i="2"/>
  <c r="F63" i="2"/>
  <c r="F65" i="2"/>
  <c r="F67" i="2"/>
  <c r="F69" i="2"/>
  <c r="F71" i="2"/>
  <c r="F59" i="2"/>
  <c r="F5" i="2"/>
  <c r="J71" i="2" l="1"/>
  <c r="K71" i="2" s="1"/>
  <c r="J61" i="2"/>
  <c r="K61" i="2" s="1"/>
  <c r="J5" i="2"/>
  <c r="K5" i="2" s="1"/>
  <c r="J29" i="2"/>
  <c r="K29" i="2" s="1"/>
  <c r="J59" i="2"/>
  <c r="K59" i="2" s="1"/>
  <c r="J69" i="2"/>
  <c r="K69" i="2" s="1"/>
  <c r="J9" i="2"/>
  <c r="K9" i="2" s="1"/>
  <c r="J8" i="2"/>
  <c r="K8" i="2" s="1"/>
  <c r="J63" i="2"/>
  <c r="K63" i="2" s="1"/>
  <c r="J65" i="2"/>
  <c r="K65" i="2" s="1"/>
  <c r="J39" i="2"/>
  <c r="K39" i="2" s="1"/>
  <c r="J31" i="2"/>
  <c r="K31" i="2" s="1"/>
  <c r="J27" i="2"/>
  <c r="K27" i="2" s="1"/>
  <c r="J21" i="2"/>
  <c r="K21" i="2" s="1"/>
  <c r="I81" i="2"/>
  <c r="I82" i="2" l="1"/>
  <c r="I83" i="2" s="1"/>
</calcChain>
</file>

<file path=xl/comments1.xml><?xml version="1.0" encoding="utf-8"?>
<comments xmlns="http://schemas.openxmlformats.org/spreadsheetml/2006/main">
  <authors>
    <author>Paul</author>
  </authors>
  <commentList>
    <comment ref="H3" authorId="0">
      <text>
        <r>
          <rPr>
            <b/>
            <sz val="9"/>
            <color indexed="81"/>
            <rFont val="Tahoma"/>
            <family val="2"/>
          </rPr>
          <t>Paul:</t>
        </r>
        <r>
          <rPr>
            <sz val="9"/>
            <color indexed="81"/>
            <rFont val="Tahoma"/>
            <family val="2"/>
          </rPr>
          <t xml:space="preserve">
'0' if message is intended to be punctal (event).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Paul:</t>
        </r>
        <r>
          <rPr>
            <sz val="9"/>
            <color indexed="81"/>
            <rFont val="Tahoma"/>
            <family val="2"/>
          </rPr>
          <t xml:space="preserve">
Useful data length (DLC in CAN protocol)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Paul:</t>
        </r>
        <r>
          <rPr>
            <sz val="9"/>
            <color indexed="81"/>
            <rFont val="Tahoma"/>
            <family val="2"/>
          </rPr>
          <t xml:space="preserve">
Worst-case size in the event of bit-stuffing.
Doesn't take into account errors and bus congestion.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Paul:</t>
        </r>
        <r>
          <rPr>
            <sz val="9"/>
            <color indexed="81"/>
            <rFont val="Tahoma"/>
            <family val="2"/>
          </rPr>
          <t xml:space="preserve">
Impact of the frame on the overall bus load.</t>
        </r>
      </text>
    </comment>
  </commentList>
</comments>
</file>

<file path=xl/sharedStrings.xml><?xml version="1.0" encoding="utf-8"?>
<sst xmlns="http://schemas.openxmlformats.org/spreadsheetml/2006/main" count="284" uniqueCount="190">
  <si>
    <t>Category</t>
  </si>
  <si>
    <t>high</t>
  </si>
  <si>
    <t>default</t>
  </si>
  <si>
    <t>low</t>
  </si>
  <si>
    <t>diag</t>
  </si>
  <si>
    <t>Used for diagnosis and debug messages</t>
  </si>
  <si>
    <t>Default priority</t>
  </si>
  <si>
    <t>Highest priority</t>
  </si>
  <si>
    <t>Low priority</t>
  </si>
  <si>
    <t>ID[10:9]</t>
  </si>
  <si>
    <t>Mnemonic</t>
  </si>
  <si>
    <t>Description</t>
  </si>
  <si>
    <t>ID[8:5]</t>
  </si>
  <si>
    <t>Categories (16 values)</t>
  </si>
  <si>
    <t>Lower SID = Higher Priority</t>
  </si>
  <si>
    <t>Messages which purely have a debug purpose</t>
  </si>
  <si>
    <t>High-level messages, related to strategy and system managment</t>
  </si>
  <si>
    <t>Bootloading messages, dedicated for self-writing over CAN purposes</t>
  </si>
  <si>
    <t>Specific messages related to the beacon(s) managment</t>
  </si>
  <si>
    <t>unused</t>
  </si>
  <si>
    <t>Actuators related messages (except motion managment)</t>
  </si>
  <si>
    <t>Messages related to the robot avoidance system (except beacons)</t>
  </si>
  <si>
    <t>Critical messages linked with power supply and batteries managment</t>
  </si>
  <si>
    <t>Robot motion messages</t>
  </si>
  <si>
    <t>Priorities (4 values)</t>
  </si>
  <si>
    <t>Message ID (32 per category)</t>
  </si>
  <si>
    <t>ID [4:0]</t>
  </si>
  <si>
    <t>They are all specific to the category.</t>
  </si>
  <si>
    <t>debug</t>
  </si>
  <si>
    <t>boot</t>
  </si>
  <si>
    <t>system</t>
  </si>
  <si>
    <t>actuators</t>
  </si>
  <si>
    <t>motion</t>
  </si>
  <si>
    <t>beacon</t>
  </si>
  <si>
    <t>avoidance</t>
  </si>
  <si>
    <t>supply</t>
  </si>
  <si>
    <t>Id</t>
  </si>
  <si>
    <t>CAN Id</t>
  </si>
  <si>
    <t>Message</t>
  </si>
  <si>
    <t>Length</t>
  </si>
  <si>
    <t>Payload content</t>
  </si>
  <si>
    <t>Bitfield</t>
  </si>
  <si>
    <t>Byte no.</t>
  </si>
  <si>
    <t>RTR
allowed</t>
  </si>
  <si>
    <t>no</t>
  </si>
  <si>
    <t>Length
(bytes)</t>
  </si>
  <si>
    <t>Priority</t>
  </si>
  <si>
    <t>CAN Message</t>
  </si>
  <si>
    <t>node_0</t>
  </si>
  <si>
    <t>node_1</t>
  </si>
  <si>
    <t>node_2</t>
  </si>
  <si>
    <t>node_3</t>
  </si>
  <si>
    <t>node_4</t>
  </si>
  <si>
    <t>node_5</t>
  </si>
  <si>
    <t>node_6</t>
  </si>
  <si>
    <t>node_7</t>
  </si>
  <si>
    <t>boot_cmd</t>
  </si>
  <si>
    <t>boot_data</t>
  </si>
  <si>
    <t>Bootload command for node 0</t>
  </si>
  <si>
    <t>Bootload data for node 0</t>
  </si>
  <si>
    <t>Bootload command for node 1</t>
  </si>
  <si>
    <t>Bootload data for node 1</t>
  </si>
  <si>
    <t>Bootload command for node 2</t>
  </si>
  <si>
    <t>Bootload data for node 2</t>
  </si>
  <si>
    <t>Bootload command for node 3</t>
  </si>
  <si>
    <t>Bootload data for node 3</t>
  </si>
  <si>
    <t>Bootload command for node 4</t>
  </si>
  <si>
    <t>Bootload data for node 4</t>
  </si>
  <si>
    <t>Bootload command for node 5</t>
  </si>
  <si>
    <t>Bootload data for node 5</t>
  </si>
  <si>
    <t>Bootload command for node 6</t>
  </si>
  <si>
    <t>Bootload data for node 6</t>
  </si>
  <si>
    <t>Bootload command for node 7</t>
  </si>
  <si>
    <t>Bootload data for node 7</t>
  </si>
  <si>
    <t>sync</t>
  </si>
  <si>
    <t>timestamp</t>
  </si>
  <si>
    <t>Fixed size =</t>
  </si>
  <si>
    <t>Standard CAN</t>
  </si>
  <si>
    <t>bits</t>
  </si>
  <si>
    <t>Bit-stuffing ratio =</t>
  </si>
  <si>
    <t>when using NRZ-5</t>
  </si>
  <si>
    <t>Bus speed =</t>
  </si>
  <si>
    <t>kbit/s</t>
  </si>
  <si>
    <t>Frame size
(bits)</t>
  </si>
  <si>
    <t>Bus load =</t>
  </si>
  <si>
    <t>yes</t>
  </si>
  <si>
    <t>command</t>
  </si>
  <si>
    <t>shutdown</t>
  </si>
  <si>
    <t>Command a power supply to be shutdown</t>
  </si>
  <si>
    <t>Reccurence
(msg/s)</t>
  </si>
  <si>
    <t>emergency_stop</t>
  </si>
  <si>
    <t>Indicates that emergency button is pushed down</t>
  </si>
  <si>
    <t>Bus Statistics</t>
  </si>
  <si>
    <t>END OF TABLE</t>
  </si>
  <si>
    <t>status</t>
  </si>
  <si>
    <t>pos_x</t>
  </si>
  <si>
    <t>Frame's
bus-load</t>
  </si>
  <si>
    <t>opponent</t>
  </si>
  <si>
    <t>Opponent's X-axis position</t>
  </si>
  <si>
    <t>Opponent's Y-axis position</t>
  </si>
  <si>
    <t>Opponent's angle relative to the robot's front</t>
  </si>
  <si>
    <t>load</t>
  </si>
  <si>
    <t>Order the actuators to load something (cd, totem)</t>
  </si>
  <si>
    <t>unload</t>
  </si>
  <si>
    <t>Order the actuators to empty the robot from its items</t>
  </si>
  <si>
    <t>lift_left</t>
  </si>
  <si>
    <t>lift_right</t>
  </si>
  <si>
    <t>arm_left</t>
  </si>
  <si>
    <t>Global match timestamp. Unit: 100ms. 0 if not started</t>
  </si>
  <si>
    <t>to be completed</t>
  </si>
  <si>
    <t xml:space="preserve">Useful data (bytes/s) = </t>
  </si>
  <si>
    <t>Bus load (bytes/s) =</t>
  </si>
  <si>
    <t>fault</t>
  </si>
  <si>
    <t>Indicates any critical fault</t>
  </si>
  <si>
    <t>battery_voltage</t>
  </si>
  <si>
    <t>Main batteries voltage</t>
  </si>
  <si>
    <t>pos_y</t>
  </si>
  <si>
    <t>bist_launch</t>
  </si>
  <si>
    <t>node</t>
  </si>
  <si>
    <t>Launch Build-In-Self-Test on specified node(s)</t>
  </si>
  <si>
    <t>CAN Messages Table</t>
  </si>
  <si>
    <t>arm_right</t>
  </si>
  <si>
    <t>param_speed</t>
  </si>
  <si>
    <t>Move right lift (vitesse) positive-&gt;up, negative-&gt;down</t>
  </si>
  <si>
    <t>Move left lift (vitesse) positive-&gt;up, negative-&gt;down</t>
  </si>
  <si>
    <t>Move left arm (position, vaccuum)</t>
  </si>
  <si>
    <t>Move right arm (position, vaccuum)</t>
  </si>
  <si>
    <t>fb_wheel_1</t>
  </si>
  <si>
    <t>fb_wheel_2</t>
  </si>
  <si>
    <t>fb_wheel_3</t>
  </si>
  <si>
    <t>Current Absolute X-axis position of wheel 1</t>
  </si>
  <si>
    <t>Current Absolute Y-axis position of wheel 1</t>
  </si>
  <si>
    <t>Current Absolute Y-axis position of wheel 2</t>
  </si>
  <si>
    <t>Current Absolute X-axis position of wheel 2</t>
  </si>
  <si>
    <t>Current Absolute X-axis position of wheel 3</t>
  </si>
  <si>
    <t>Current Absolute Y-axis position of wheel 3</t>
  </si>
  <si>
    <t>opponent_main_pos_x</t>
  </si>
  <si>
    <t>opponent_main_pos_y</t>
  </si>
  <si>
    <t>opponent_main_pos_a</t>
  </si>
  <si>
    <t>opponent_second_pos_x</t>
  </si>
  <si>
    <t>opponent_second_pos_y</t>
  </si>
  <si>
    <t>opponent_second_pos_a</t>
  </si>
  <si>
    <t>Opponent main robot's X-axis position</t>
  </si>
  <si>
    <t>Opponent main robot's Y-axis position</t>
  </si>
  <si>
    <t>Opponent main robot's angle relative to the robot's front</t>
  </si>
  <si>
    <t>IGrebot 2013 - Holonomic</t>
  </si>
  <si>
    <t>Set speed of wheel 1</t>
  </si>
  <si>
    <t>Set speed of wheel 2</t>
  </si>
  <si>
    <t>Set speed of wheel 3</t>
  </si>
  <si>
    <t>fb_motor_1</t>
  </si>
  <si>
    <t>Indicates any critical fault on motor driver 1</t>
  </si>
  <si>
    <t>Get speed of wheel 1</t>
  </si>
  <si>
    <t>Get speed of wheel 2</t>
  </si>
  <si>
    <t>Indicates any critical fault on motor driver 2</t>
  </si>
  <si>
    <t>Get speed of wheel 3</t>
  </si>
  <si>
    <t>Indicates any critical fault on motor driver 3</t>
  </si>
  <si>
    <t>fb_motor_2</t>
  </si>
  <si>
    <t>fb_motor_3</t>
  </si>
  <si>
    <t>Us</t>
  </si>
  <si>
    <t>System</t>
  </si>
  <si>
    <t>motor_speed</t>
  </si>
  <si>
    <t>motor1_speed</t>
  </si>
  <si>
    <t>motor2_speed</t>
  </si>
  <si>
    <t>motor3_speed</t>
  </si>
  <si>
    <t>Sharps1</t>
  </si>
  <si>
    <t>Sharps2</t>
  </si>
  <si>
    <t>Sharps3</t>
  </si>
  <si>
    <t>Indicates the distance measured by the sharp1 sensor</t>
  </si>
  <si>
    <t>Indicates the distance measured by the sharp2 sensor</t>
  </si>
  <si>
    <t>Indicates the distance measured by the sharp3 sensor</t>
  </si>
  <si>
    <t>Indicates the distance measured by the US sensor</t>
  </si>
  <si>
    <t>Corner_1</t>
  </si>
  <si>
    <t>Corner_2</t>
  </si>
  <si>
    <t>Corner_3</t>
  </si>
  <si>
    <t>position</t>
  </si>
  <si>
    <t>speed</t>
  </si>
  <si>
    <t>acceleration</t>
  </si>
  <si>
    <t>a</t>
  </si>
  <si>
    <t>x</t>
  </si>
  <si>
    <t>y</t>
  </si>
  <si>
    <t>Current Absolute X-axis position of robot</t>
  </si>
  <si>
    <t>Current Absolute Y-axis position of robot</t>
  </si>
  <si>
    <t xml:space="preserve">Current speed of the robot following X-axis </t>
  </si>
  <si>
    <t xml:space="preserve">Current speed of the robot following Y-axis </t>
  </si>
  <si>
    <t>Current rotational speed of the robot</t>
  </si>
  <si>
    <t xml:space="preserve">Current acceleration of the robot following X-axis </t>
  </si>
  <si>
    <t xml:space="preserve">Current acceleration of the robot following Y-axis </t>
  </si>
  <si>
    <t>Current rotational acceleration of the robot</t>
  </si>
  <si>
    <t>Current Absolute angle of robot</t>
  </si>
  <si>
    <t>Robot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</si>
</sst>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9"/>
      <name val="Calibri"/>
      <family val="2"/>
      <scheme val="minor"/>
    </font>
    <font>
      <b/>
      <sz val="14"/>
      <color rgb="FF0000FF"/>
      <name val="Calibri"/>
      <family val="2"/>
      <scheme val="minor"/>
    </font>
    <font>
      <b/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</borders>
  <cellStyleXfs count="1">
    <xf numFmtId="0" fontId="0" fillId="0" borderId="0"/>
  </cellStyleXfs>
  <cellXfs count="14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49" fontId="0" fillId="0" borderId="0" xfId="0" applyNumberFormat="1"/>
    <xf numFmtId="1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6" fillId="0" borderId="0" xfId="0" applyFont="1"/>
    <xf numFmtId="0" fontId="0" fillId="0" borderId="0" xfId="0" applyAlignment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Fill="1" applyBorder="1" applyAlignment="1"/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Border="1" applyAlignment="1">
      <alignment vertic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left"/>
    </xf>
    <xf numFmtId="10" fontId="4" fillId="0" borderId="3" xfId="0" applyNumberFormat="1" applyFont="1" applyBorder="1" applyAlignment="1">
      <alignment horizontal="left"/>
    </xf>
    <xf numFmtId="0" fontId="0" fillId="0" borderId="0" xfId="0" applyBorder="1" applyAlignment="1">
      <alignment horizontal="center" vertical="center"/>
    </xf>
    <xf numFmtId="0" fontId="9" fillId="0" borderId="0" xfId="0" applyFont="1"/>
    <xf numFmtId="0" fontId="3" fillId="7" borderId="11" xfId="0" applyFont="1" applyFill="1" applyBorder="1" applyAlignment="1"/>
    <xf numFmtId="0" fontId="3" fillId="7" borderId="11" xfId="0" applyFont="1" applyFill="1" applyBorder="1" applyAlignment="1">
      <alignment horizontal="center"/>
    </xf>
    <xf numFmtId="0" fontId="3" fillId="7" borderId="11" xfId="0" applyFont="1" applyFill="1" applyBorder="1"/>
    <xf numFmtId="0" fontId="0" fillId="0" borderId="0" xfId="0" applyFill="1" applyBorder="1" applyAlignment="1">
      <alignment vertical="center"/>
    </xf>
    <xf numFmtId="0" fontId="10" fillId="0" borderId="0" xfId="0" applyFont="1" applyAlignment="1">
      <alignment horizontal="center"/>
    </xf>
    <xf numFmtId="0" fontId="10" fillId="0" borderId="1" xfId="0" applyFont="1" applyBorder="1"/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applyBorder="1"/>
    <xf numFmtId="0" fontId="10" fillId="0" borderId="0" xfId="0" applyFont="1" applyBorder="1" applyAlignment="1">
      <alignment horizontal="center"/>
    </xf>
    <xf numFmtId="10" fontId="5" fillId="0" borderId="0" xfId="0" applyNumberFormat="1" applyFont="1" applyAlignment="1">
      <alignment horizontal="center" vertical="center"/>
    </xf>
    <xf numFmtId="10" fontId="5" fillId="0" borderId="1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left"/>
    </xf>
    <xf numFmtId="0" fontId="11" fillId="0" borderId="5" xfId="0" applyFont="1" applyBorder="1" applyAlignment="1"/>
    <xf numFmtId="0" fontId="11" fillId="0" borderId="0" xfId="0" applyFont="1" applyBorder="1" applyAlignment="1"/>
    <xf numFmtId="0" fontId="11" fillId="0" borderId="1" xfId="0" applyFont="1" applyBorder="1" applyAlignment="1"/>
    <xf numFmtId="0" fontId="11" fillId="0" borderId="15" xfId="0" applyFont="1" applyBorder="1" applyAlignment="1"/>
    <xf numFmtId="0" fontId="11" fillId="0" borderId="0" xfId="0" applyFont="1" applyAlignment="1"/>
    <xf numFmtId="0" fontId="0" fillId="0" borderId="5" xfId="0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4" fillId="0" borderId="0" xfId="0" applyFont="1"/>
    <xf numFmtId="49" fontId="4" fillId="0" borderId="0" xfId="0" applyNumberFormat="1" applyFont="1"/>
    <xf numFmtId="0" fontId="12" fillId="0" borderId="0" xfId="0" applyFont="1" applyBorder="1" applyAlignment="1">
      <alignment horizontal="center" vertical="center"/>
    </xf>
    <xf numFmtId="10" fontId="12" fillId="0" borderId="0" xfId="0" applyNumberFormat="1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15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8" fillId="7" borderId="10" xfId="0" applyFont="1" applyFill="1" applyBorder="1" applyAlignment="1">
      <alignment horizontal="center"/>
    </xf>
    <xf numFmtId="0" fontId="0" fillId="0" borderId="1" xfId="0" applyFill="1" applyBorder="1"/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12" fillId="0" borderId="1" xfId="0" applyFont="1" applyBorder="1" applyAlignment="1">
      <alignment horizontal="center" vertical="center"/>
    </xf>
    <xf numFmtId="10" fontId="12" fillId="0" borderId="5" xfId="0" applyNumberFormat="1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0" fontId="12" fillId="0" borderId="1" xfId="0" applyNumberFormat="1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4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5" xfId="0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10" fillId="0" borderId="5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0" fontId="12" fillId="0" borderId="5" xfId="0" applyNumberFormat="1" applyFont="1" applyBorder="1" applyAlignment="1">
      <alignment horizontal="center" vertical="center" wrapText="1"/>
    </xf>
    <xf numFmtId="10" fontId="12" fillId="0" borderId="0" xfId="0" applyNumberFormat="1" applyFont="1" applyBorder="1" applyAlignment="1">
      <alignment horizontal="center" vertical="center" wrapText="1"/>
    </xf>
    <xf numFmtId="10" fontId="12" fillId="0" borderId="1" xfId="0" applyNumberFormat="1" applyFont="1" applyBorder="1" applyAlignment="1">
      <alignment horizontal="center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" fillId="7" borderId="11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3" fillId="7" borderId="14" xfId="0" applyFont="1" applyFill="1" applyBorder="1" applyAlignment="1">
      <alignment horizontal="center"/>
    </xf>
    <xf numFmtId="0" fontId="0" fillId="10" borderId="5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13" borderId="1" xfId="0" applyFill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12" borderId="5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0" fontId="12" fillId="0" borderId="15" xfId="0" applyNumberFormat="1" applyFont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center" wrapText="1"/>
    </xf>
    <xf numFmtId="0" fontId="12" fillId="0" borderId="15" xfId="0" applyFont="1" applyBorder="1" applyAlignment="1">
      <alignment horizontal="center" vertical="center"/>
    </xf>
    <xf numFmtId="0" fontId="0" fillId="0" borderId="8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8" borderId="15" xfId="0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7" fillId="5" borderId="6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/>
    </xf>
    <xf numFmtId="0" fontId="13" fillId="0" borderId="0" xfId="0" applyFont="1" applyAlignment="1">
      <alignment horizontal="left"/>
    </xf>
    <xf numFmtId="0" fontId="14" fillId="0" borderId="0" xfId="0" applyFont="1" applyAlignment="1">
      <alignment horizontal="right"/>
    </xf>
    <xf numFmtId="0" fontId="3" fillId="7" borderId="12" xfId="0" applyFont="1" applyFill="1" applyBorder="1" applyAlignment="1">
      <alignment horizontal="left"/>
    </xf>
    <xf numFmtId="0" fontId="3" fillId="7" borderId="13" xfId="0" applyFont="1" applyFill="1" applyBorder="1" applyAlignment="1">
      <alignment horizontal="left"/>
    </xf>
    <xf numFmtId="0" fontId="3" fillId="7" borderId="14" xfId="0" applyFont="1" applyFill="1" applyBorder="1" applyAlignment="1">
      <alignment horizontal="left"/>
    </xf>
    <xf numFmtId="0" fontId="0" fillId="13" borderId="5" xfId="0" applyFill="1" applyBorder="1" applyAlignment="1">
      <alignment horizontal="center" vertical="center"/>
    </xf>
    <xf numFmtId="0" fontId="10" fillId="0" borderId="5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0" fillId="14" borderId="0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</cellXfs>
  <cellStyles count="1">
    <cellStyle name="Normal" xfId="0" builtinId="0"/>
  </cellStyles>
  <dxfs count="13"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E16"/>
  <sheetViews>
    <sheetView workbookViewId="0">
      <selection activeCell="D7" sqref="D7"/>
    </sheetView>
  </sheetViews>
  <sheetFormatPr baseColWidth="10" defaultColWidth="9.140625" defaultRowHeight="15" x14ac:dyDescent="0.25"/>
  <cols>
    <col min="1" max="1" width="4.7109375" customWidth="1"/>
  </cols>
  <sheetData>
    <row r="2" spans="3:5" x14ac:dyDescent="0.25">
      <c r="C2" t="s">
        <v>77</v>
      </c>
    </row>
    <row r="3" spans="3:5" x14ac:dyDescent="0.25">
      <c r="C3" s="17"/>
    </row>
    <row r="4" spans="3:5" x14ac:dyDescent="0.25">
      <c r="C4" s="17" t="s">
        <v>76</v>
      </c>
      <c r="D4" s="5">
        <f>1+11+1+1+1+4+15+1+1+1+7</f>
        <v>44</v>
      </c>
      <c r="E4" t="s">
        <v>78</v>
      </c>
    </row>
    <row r="5" spans="3:5" x14ac:dyDescent="0.25">
      <c r="C5" s="17" t="s">
        <v>79</v>
      </c>
      <c r="D5" s="5">
        <f>6/5</f>
        <v>1.2</v>
      </c>
      <c r="E5" t="s">
        <v>80</v>
      </c>
    </row>
    <row r="6" spans="3:5" x14ac:dyDescent="0.25">
      <c r="C6" s="17" t="s">
        <v>81</v>
      </c>
      <c r="D6" s="5">
        <v>125</v>
      </c>
      <c r="E6" t="s">
        <v>82</v>
      </c>
    </row>
    <row r="7" spans="3:5" x14ac:dyDescent="0.25">
      <c r="C7" s="17"/>
    </row>
    <row r="8" spans="3:5" x14ac:dyDescent="0.25">
      <c r="C8" s="17"/>
    </row>
    <row r="9" spans="3:5" x14ac:dyDescent="0.25">
      <c r="C9" s="17"/>
    </row>
    <row r="10" spans="3:5" x14ac:dyDescent="0.25">
      <c r="C10" s="17"/>
    </row>
    <row r="11" spans="3:5" x14ac:dyDescent="0.25">
      <c r="C11" s="17"/>
    </row>
    <row r="12" spans="3:5" x14ac:dyDescent="0.25">
      <c r="C12" s="17"/>
    </row>
    <row r="13" spans="3:5" x14ac:dyDescent="0.25">
      <c r="C13" s="17"/>
    </row>
    <row r="14" spans="3:5" x14ac:dyDescent="0.25">
      <c r="C14" s="17"/>
    </row>
    <row r="15" spans="3:5" x14ac:dyDescent="0.25">
      <c r="C15" s="17"/>
    </row>
    <row r="16" spans="3:5" x14ac:dyDescent="0.25">
      <c r="C16" s="1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V31"/>
  <sheetViews>
    <sheetView workbookViewId="0">
      <selection activeCell="L5" sqref="L5:M5"/>
    </sheetView>
  </sheetViews>
  <sheetFormatPr baseColWidth="10" defaultColWidth="9.140625" defaultRowHeight="15" x14ac:dyDescent="0.25"/>
  <cols>
    <col min="1" max="1" width="4.5703125" customWidth="1"/>
    <col min="2" max="2" width="16.7109375" customWidth="1"/>
    <col min="3" max="3" width="16.85546875" customWidth="1"/>
    <col min="4" max="4" width="12.42578125" customWidth="1"/>
    <col min="12" max="22" width="5.7109375" customWidth="1"/>
  </cols>
  <sheetData>
    <row r="1" spans="2:22" x14ac:dyDescent="0.25">
      <c r="B1" t="s">
        <v>14</v>
      </c>
    </row>
    <row r="3" spans="2:22" x14ac:dyDescent="0.25">
      <c r="B3" s="46" t="s">
        <v>24</v>
      </c>
      <c r="L3" s="67" t="s">
        <v>37</v>
      </c>
      <c r="M3" s="67"/>
      <c r="N3" s="67"/>
      <c r="O3" s="67"/>
      <c r="P3" s="67"/>
      <c r="Q3" s="67"/>
      <c r="R3" s="67"/>
      <c r="S3" s="67"/>
      <c r="T3" s="67"/>
      <c r="U3" s="67"/>
      <c r="V3" s="67"/>
    </row>
    <row r="4" spans="2:22" x14ac:dyDescent="0.25">
      <c r="B4" t="s">
        <v>9</v>
      </c>
      <c r="C4" t="s">
        <v>10</v>
      </c>
      <c r="D4" t="s">
        <v>11</v>
      </c>
      <c r="L4" s="13">
        <v>10</v>
      </c>
      <c r="M4" s="13">
        <v>9</v>
      </c>
      <c r="N4" s="13">
        <v>8</v>
      </c>
      <c r="O4" s="13">
        <v>7</v>
      </c>
      <c r="P4" s="13">
        <v>6</v>
      </c>
      <c r="Q4" s="13">
        <v>5</v>
      </c>
      <c r="R4" s="13">
        <v>4</v>
      </c>
      <c r="S4" s="13">
        <v>3</v>
      </c>
      <c r="T4" s="13">
        <v>2</v>
      </c>
      <c r="U4" s="13">
        <v>1</v>
      </c>
      <c r="V4" s="13">
        <v>0</v>
      </c>
    </row>
    <row r="5" spans="2:22" x14ac:dyDescent="0.25">
      <c r="B5" s="4">
        <v>0</v>
      </c>
      <c r="C5" t="s">
        <v>1</v>
      </c>
      <c r="D5" t="s">
        <v>7</v>
      </c>
      <c r="J5" s="67" t="s">
        <v>47</v>
      </c>
      <c r="K5" s="67"/>
      <c r="L5" s="68" t="s">
        <v>46</v>
      </c>
      <c r="M5" s="68"/>
      <c r="N5" s="69" t="s">
        <v>0</v>
      </c>
      <c r="O5" s="69"/>
      <c r="P5" s="69"/>
      <c r="Q5" s="69"/>
      <c r="R5" s="70" t="s">
        <v>38</v>
      </c>
      <c r="S5" s="70"/>
      <c r="T5" s="70"/>
      <c r="U5" s="70"/>
      <c r="V5" s="70"/>
    </row>
    <row r="6" spans="2:22" x14ac:dyDescent="0.25">
      <c r="B6" s="4">
        <v>1</v>
      </c>
      <c r="C6" t="s">
        <v>2</v>
      </c>
      <c r="D6" t="s">
        <v>6</v>
      </c>
    </row>
    <row r="7" spans="2:22" x14ac:dyDescent="0.25">
      <c r="B7" s="4">
        <v>2</v>
      </c>
      <c r="C7" t="s">
        <v>3</v>
      </c>
      <c r="D7" t="s">
        <v>8</v>
      </c>
      <c r="J7" s="67"/>
      <c r="K7" s="67"/>
      <c r="L7" s="14"/>
      <c r="M7" s="14"/>
    </row>
    <row r="8" spans="2:22" x14ac:dyDescent="0.25">
      <c r="B8" s="4">
        <v>3</v>
      </c>
      <c r="C8" t="s">
        <v>4</v>
      </c>
      <c r="D8" t="s">
        <v>5</v>
      </c>
    </row>
    <row r="10" spans="2:22" x14ac:dyDescent="0.25">
      <c r="B10" s="47" t="s">
        <v>13</v>
      </c>
    </row>
    <row r="11" spans="2:22" x14ac:dyDescent="0.25">
      <c r="B11" s="3" t="s">
        <v>12</v>
      </c>
      <c r="C11" t="s">
        <v>10</v>
      </c>
      <c r="D11" t="s">
        <v>11</v>
      </c>
    </row>
    <row r="12" spans="2:22" x14ac:dyDescent="0.25">
      <c r="B12" s="5">
        <v>0</v>
      </c>
      <c r="C12" t="s">
        <v>35</v>
      </c>
      <c r="D12" t="s">
        <v>22</v>
      </c>
    </row>
    <row r="13" spans="2:22" x14ac:dyDescent="0.25">
      <c r="B13" s="5">
        <v>1</v>
      </c>
      <c r="C13" t="s">
        <v>34</v>
      </c>
      <c r="D13" t="s">
        <v>21</v>
      </c>
    </row>
    <row r="14" spans="2:22" x14ac:dyDescent="0.25">
      <c r="B14" s="5">
        <v>2</v>
      </c>
      <c r="C14" t="s">
        <v>33</v>
      </c>
      <c r="D14" t="s">
        <v>18</v>
      </c>
    </row>
    <row r="15" spans="2:22" x14ac:dyDescent="0.25">
      <c r="B15" s="5">
        <v>3</v>
      </c>
      <c r="C15" t="s">
        <v>32</v>
      </c>
      <c r="D15" t="s">
        <v>23</v>
      </c>
    </row>
    <row r="16" spans="2:22" x14ac:dyDescent="0.25">
      <c r="B16" s="5">
        <v>4</v>
      </c>
      <c r="C16" t="s">
        <v>31</v>
      </c>
      <c r="D16" t="s">
        <v>20</v>
      </c>
    </row>
    <row r="17" spans="2:4" x14ac:dyDescent="0.25">
      <c r="B17" s="5">
        <v>5</v>
      </c>
      <c r="C17" s="6" t="s">
        <v>19</v>
      </c>
    </row>
    <row r="18" spans="2:4" x14ac:dyDescent="0.25">
      <c r="B18" s="5">
        <v>6</v>
      </c>
      <c r="C18" s="6" t="s">
        <v>19</v>
      </c>
    </row>
    <row r="19" spans="2:4" x14ac:dyDescent="0.25">
      <c r="B19" s="5">
        <v>7</v>
      </c>
      <c r="C19" s="6" t="s">
        <v>19</v>
      </c>
    </row>
    <row r="20" spans="2:4" x14ac:dyDescent="0.25">
      <c r="B20" s="5">
        <v>8</v>
      </c>
      <c r="C20" t="s">
        <v>30</v>
      </c>
      <c r="D20" t="s">
        <v>16</v>
      </c>
    </row>
    <row r="21" spans="2:4" x14ac:dyDescent="0.25">
      <c r="B21" s="5">
        <v>9</v>
      </c>
      <c r="C21" s="6" t="s">
        <v>19</v>
      </c>
    </row>
    <row r="22" spans="2:4" x14ac:dyDescent="0.25">
      <c r="B22" s="5">
        <v>10</v>
      </c>
      <c r="C22" s="6" t="s">
        <v>19</v>
      </c>
    </row>
    <row r="23" spans="2:4" x14ac:dyDescent="0.25">
      <c r="B23" s="5">
        <v>11</v>
      </c>
      <c r="C23" s="6" t="s">
        <v>19</v>
      </c>
    </row>
    <row r="24" spans="2:4" x14ac:dyDescent="0.25">
      <c r="B24" s="5">
        <v>12</v>
      </c>
      <c r="C24" s="6" t="s">
        <v>19</v>
      </c>
    </row>
    <row r="25" spans="2:4" x14ac:dyDescent="0.25">
      <c r="B25" s="5">
        <v>13</v>
      </c>
      <c r="C25" s="6" t="s">
        <v>19</v>
      </c>
    </row>
    <row r="26" spans="2:4" x14ac:dyDescent="0.25">
      <c r="B26" s="5">
        <v>14</v>
      </c>
      <c r="C26" t="s">
        <v>29</v>
      </c>
      <c r="D26" t="s">
        <v>17</v>
      </c>
    </row>
    <row r="27" spans="2:4" x14ac:dyDescent="0.25">
      <c r="B27" s="5">
        <v>15</v>
      </c>
      <c r="C27" t="s">
        <v>28</v>
      </c>
      <c r="D27" t="s">
        <v>15</v>
      </c>
    </row>
    <row r="29" spans="2:4" x14ac:dyDescent="0.25">
      <c r="B29" s="46" t="s">
        <v>25</v>
      </c>
    </row>
    <row r="30" spans="2:4" x14ac:dyDescent="0.25">
      <c r="B30" t="s">
        <v>26</v>
      </c>
    </row>
    <row r="31" spans="2:4" x14ac:dyDescent="0.25">
      <c r="B31" t="s">
        <v>27</v>
      </c>
    </row>
  </sheetData>
  <mergeCells count="6">
    <mergeCell ref="J7:K7"/>
    <mergeCell ref="L3:V3"/>
    <mergeCell ref="J5:K5"/>
    <mergeCell ref="L5:M5"/>
    <mergeCell ref="N5:Q5"/>
    <mergeCell ref="R5:V5"/>
  </mergeCells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83"/>
  <sheetViews>
    <sheetView tabSelected="1" topLeftCell="A49" zoomScaleNormal="100" workbookViewId="0">
      <selection activeCell="J48" sqref="J48:J50"/>
    </sheetView>
  </sheetViews>
  <sheetFormatPr baseColWidth="10" defaultColWidth="9.140625" defaultRowHeight="15" x14ac:dyDescent="0.25"/>
  <cols>
    <col min="1" max="1" width="2.85546875" customWidth="1"/>
    <col min="2" max="2" width="10.42578125" bestFit="1" customWidth="1"/>
    <col min="3" max="3" width="5.7109375" style="1" customWidth="1"/>
    <col min="4" max="4" width="29.140625" customWidth="1"/>
    <col min="5" max="5" width="5.7109375" style="1" customWidth="1"/>
    <col min="6" max="6" width="10" customWidth="1"/>
    <col min="7" max="7" width="9" customWidth="1"/>
    <col min="8" max="8" width="12" customWidth="1"/>
    <col min="9" max="9" width="11" customWidth="1"/>
    <col min="10" max="10" width="10.28515625" customWidth="1"/>
    <col min="11" max="11" width="10.28515625" style="15" customWidth="1"/>
    <col min="12" max="12" width="23.42578125" bestFit="1" customWidth="1"/>
    <col min="13" max="14" width="9.140625" style="1"/>
    <col min="15" max="15" width="46.28515625" style="7" bestFit="1" customWidth="1"/>
  </cols>
  <sheetData>
    <row r="1" spans="1:15" ht="33" customHeight="1" x14ac:dyDescent="0.4">
      <c r="B1" s="136" t="s">
        <v>145</v>
      </c>
      <c r="C1" s="136"/>
      <c r="D1" s="136"/>
      <c r="E1" s="136"/>
      <c r="F1" s="136"/>
      <c r="G1" s="136"/>
      <c r="H1" s="136"/>
      <c r="I1" s="137" t="s">
        <v>120</v>
      </c>
      <c r="J1" s="137"/>
      <c r="K1" s="137"/>
      <c r="L1" s="137"/>
      <c r="M1" s="137"/>
      <c r="N1" s="137"/>
      <c r="O1" s="137"/>
    </row>
    <row r="2" spans="1:15" x14ac:dyDescent="0.25">
      <c r="B2" s="7"/>
      <c r="D2" s="7"/>
    </row>
    <row r="3" spans="1:15" x14ac:dyDescent="0.25">
      <c r="A3" s="8"/>
      <c r="B3" s="100" t="s">
        <v>0</v>
      </c>
      <c r="C3" s="100"/>
      <c r="D3" s="101" t="s">
        <v>38</v>
      </c>
      <c r="E3" s="102"/>
      <c r="F3" s="106" t="s">
        <v>37</v>
      </c>
      <c r="G3" s="106" t="s">
        <v>43</v>
      </c>
      <c r="H3" s="106" t="s">
        <v>89</v>
      </c>
      <c r="I3" s="106" t="s">
        <v>45</v>
      </c>
      <c r="J3" s="123" t="s">
        <v>83</v>
      </c>
      <c r="K3" s="106" t="s">
        <v>96</v>
      </c>
      <c r="L3" s="138" t="s">
        <v>40</v>
      </c>
      <c r="M3" s="139"/>
      <c r="N3" s="139"/>
      <c r="O3" s="140"/>
    </row>
    <row r="4" spans="1:15" x14ac:dyDescent="0.25">
      <c r="A4" s="8"/>
      <c r="B4" s="27" t="s">
        <v>10</v>
      </c>
      <c r="C4" s="26" t="s">
        <v>36</v>
      </c>
      <c r="D4" s="27" t="s">
        <v>10</v>
      </c>
      <c r="E4" s="26" t="s">
        <v>36</v>
      </c>
      <c r="F4" s="107"/>
      <c r="G4" s="106"/>
      <c r="H4" s="107"/>
      <c r="I4" s="107"/>
      <c r="J4" s="100"/>
      <c r="K4" s="107"/>
      <c r="L4" s="27" t="s">
        <v>41</v>
      </c>
      <c r="M4" s="26" t="s">
        <v>42</v>
      </c>
      <c r="N4" s="26" t="s">
        <v>39</v>
      </c>
      <c r="O4" s="25" t="s">
        <v>11</v>
      </c>
    </row>
    <row r="5" spans="1:15" x14ac:dyDescent="0.25">
      <c r="B5" s="129" t="s">
        <v>35</v>
      </c>
      <c r="C5" s="131">
        <v>0</v>
      </c>
      <c r="D5" s="110" t="s">
        <v>94</v>
      </c>
      <c r="E5" s="108">
        <v>0</v>
      </c>
      <c r="F5" s="132" t="str">
        <f>CONCATENATE("0x",DEC2HEX(32*C5+E5,3))</f>
        <v>0x000</v>
      </c>
      <c r="G5" s="108" t="s">
        <v>85</v>
      </c>
      <c r="H5" s="108">
        <v>20</v>
      </c>
      <c r="I5" s="109">
        <f>SUM(N5:N7)</f>
        <v>4</v>
      </c>
      <c r="J5" s="124">
        <f>CEILING(('CAN Protocol'!$D$4+'CAN Messages Table'!I5:I6*8)*'CAN Protocol'!$D$5,1)</f>
        <v>92</v>
      </c>
      <c r="K5" s="122">
        <f>J5*H5/(8*('CAN Protocol'!$D$6*1000/8))</f>
        <v>1.472E-2</v>
      </c>
      <c r="L5" s="31" t="s">
        <v>112</v>
      </c>
      <c r="M5" s="32">
        <v>0</v>
      </c>
      <c r="N5" s="32">
        <v>1</v>
      </c>
      <c r="O5" s="42" t="s">
        <v>113</v>
      </c>
    </row>
    <row r="6" spans="1:15" x14ac:dyDescent="0.25">
      <c r="B6" s="130"/>
      <c r="C6" s="72"/>
      <c r="D6" s="98"/>
      <c r="E6" s="87"/>
      <c r="F6" s="84"/>
      <c r="G6" s="87"/>
      <c r="H6" s="87"/>
      <c r="I6" s="90"/>
      <c r="J6" s="93"/>
      <c r="K6" s="96"/>
      <c r="L6" s="8" t="s">
        <v>114</v>
      </c>
      <c r="M6" s="9">
        <v>1</v>
      </c>
      <c r="N6" s="9">
        <v>2</v>
      </c>
      <c r="O6" s="40" t="s">
        <v>115</v>
      </c>
    </row>
    <row r="7" spans="1:15" x14ac:dyDescent="0.25">
      <c r="B7" s="130"/>
      <c r="C7" s="72"/>
      <c r="D7" s="98"/>
      <c r="E7" s="87"/>
      <c r="F7" s="84"/>
      <c r="G7" s="87"/>
      <c r="H7" s="87"/>
      <c r="I7" s="90"/>
      <c r="J7" s="93"/>
      <c r="K7" s="96"/>
      <c r="L7" s="8" t="s">
        <v>90</v>
      </c>
      <c r="M7" s="9">
        <v>4</v>
      </c>
      <c r="N7" s="9">
        <v>1</v>
      </c>
      <c r="O7" s="40" t="s">
        <v>91</v>
      </c>
    </row>
    <row r="8" spans="1:15" x14ac:dyDescent="0.25">
      <c r="B8" s="130"/>
      <c r="C8" s="72"/>
      <c r="D8" s="38" t="s">
        <v>86</v>
      </c>
      <c r="E8" s="9">
        <v>1</v>
      </c>
      <c r="F8" s="35" t="str">
        <f>CONCATENATE("0x",DEC2HEX(32*C8+E8,3))</f>
        <v>0x001</v>
      </c>
      <c r="G8" s="9" t="s">
        <v>44</v>
      </c>
      <c r="H8" s="9">
        <v>0</v>
      </c>
      <c r="I8" s="51">
        <f>N8</f>
        <v>1</v>
      </c>
      <c r="J8" s="48">
        <f>CEILING(('CAN Protocol'!$D$4+'CAN Messages Table'!I8:I8*8)*'CAN Protocol'!$D$5,1)</f>
        <v>63</v>
      </c>
      <c r="K8" s="49">
        <f>J8*H8/(8*('CAN Protocol'!$D$6*1000/8))</f>
        <v>0</v>
      </c>
      <c r="L8" s="8" t="s">
        <v>87</v>
      </c>
      <c r="M8" s="9">
        <v>0</v>
      </c>
      <c r="N8" s="9">
        <v>1</v>
      </c>
      <c r="O8" s="40" t="s">
        <v>88</v>
      </c>
    </row>
    <row r="9" spans="1:15" x14ac:dyDescent="0.25">
      <c r="B9" s="74" t="s">
        <v>34</v>
      </c>
      <c r="C9" s="71">
        <v>1</v>
      </c>
      <c r="D9" s="77" t="s">
        <v>171</v>
      </c>
      <c r="E9" s="80">
        <v>0</v>
      </c>
      <c r="F9" s="83" t="str">
        <f>CONCATENATE("0x",DEC2HEX(32*$C$9+E9,3))</f>
        <v>0x020</v>
      </c>
      <c r="G9" s="86" t="s">
        <v>85</v>
      </c>
      <c r="H9" s="86">
        <v>5</v>
      </c>
      <c r="I9" s="89">
        <f>SUM(N9:N12)</f>
        <v>8</v>
      </c>
      <c r="J9" s="92">
        <f>CEILING(('CAN Protocol'!$D$4+'CAN Messages Table'!I9:I9*8)*'CAN Protocol'!$D$5,1)</f>
        <v>130</v>
      </c>
      <c r="K9" s="95">
        <f>J9*H9/(8*('CAN Protocol'!$D$6*1000/8))</f>
        <v>5.1999999999999998E-3</v>
      </c>
      <c r="L9" s="34" t="s">
        <v>164</v>
      </c>
      <c r="M9" s="33">
        <v>0</v>
      </c>
      <c r="N9" s="33">
        <v>2</v>
      </c>
      <c r="O9" s="39" t="s">
        <v>167</v>
      </c>
    </row>
    <row r="10" spans="1:15" x14ac:dyDescent="0.25">
      <c r="B10" s="75"/>
      <c r="C10" s="72"/>
      <c r="D10" s="78"/>
      <c r="E10" s="81"/>
      <c r="F10" s="84"/>
      <c r="G10" s="87"/>
      <c r="H10" s="87"/>
      <c r="I10" s="90"/>
      <c r="J10" s="93"/>
      <c r="K10" s="96"/>
      <c r="L10" s="8" t="s">
        <v>165</v>
      </c>
      <c r="M10" s="9">
        <v>2</v>
      </c>
      <c r="N10" s="9">
        <v>2</v>
      </c>
      <c r="O10" s="40" t="s">
        <v>168</v>
      </c>
    </row>
    <row r="11" spans="1:15" x14ac:dyDescent="0.25">
      <c r="B11" s="75"/>
      <c r="C11" s="72"/>
      <c r="D11" s="78"/>
      <c r="E11" s="81"/>
      <c r="F11" s="84"/>
      <c r="G11" s="87"/>
      <c r="H11" s="87"/>
      <c r="I11" s="90"/>
      <c r="J11" s="93"/>
      <c r="K11" s="96"/>
      <c r="L11" s="8" t="s">
        <v>166</v>
      </c>
      <c r="M11" s="1">
        <v>4</v>
      </c>
      <c r="N11" s="1">
        <v>2</v>
      </c>
      <c r="O11" s="40" t="s">
        <v>169</v>
      </c>
    </row>
    <row r="12" spans="1:15" x14ac:dyDescent="0.25">
      <c r="B12" s="75"/>
      <c r="C12" s="72"/>
      <c r="D12" s="79"/>
      <c r="E12" s="82"/>
      <c r="F12" s="85"/>
      <c r="G12" s="88"/>
      <c r="H12" s="88"/>
      <c r="I12" s="91"/>
      <c r="J12" s="94"/>
      <c r="K12" s="97"/>
      <c r="L12" s="54" t="s">
        <v>158</v>
      </c>
      <c r="M12" s="11">
        <v>6</v>
      </c>
      <c r="N12" s="11">
        <v>2</v>
      </c>
      <c r="O12" s="41" t="s">
        <v>170</v>
      </c>
    </row>
    <row r="13" spans="1:15" x14ac:dyDescent="0.25">
      <c r="B13" s="75"/>
      <c r="C13" s="72"/>
      <c r="D13" s="77" t="s">
        <v>172</v>
      </c>
      <c r="E13" s="80">
        <v>1</v>
      </c>
      <c r="F13" s="83" t="str">
        <f>CONCATENATE("0x",DEC2HEX(32*$C$9+E13,3))</f>
        <v>0x021</v>
      </c>
      <c r="G13" s="86" t="s">
        <v>85</v>
      </c>
      <c r="H13" s="86">
        <v>5</v>
      </c>
      <c r="I13" s="89">
        <f>SUM(N13:N16)</f>
        <v>8</v>
      </c>
      <c r="J13" s="92">
        <f>CEILING(('CAN Protocol'!$D$4+'CAN Messages Table'!I13:I13*8)*'CAN Protocol'!$D$5,1)</f>
        <v>130</v>
      </c>
      <c r="K13" s="95">
        <f>J13*H13/(8*('CAN Protocol'!$D$6*1000/8))</f>
        <v>5.1999999999999998E-3</v>
      </c>
      <c r="L13" s="34" t="s">
        <v>164</v>
      </c>
      <c r="M13" s="56">
        <v>0</v>
      </c>
      <c r="N13" s="56">
        <v>2</v>
      </c>
      <c r="O13" s="39" t="s">
        <v>167</v>
      </c>
    </row>
    <row r="14" spans="1:15" x14ac:dyDescent="0.25">
      <c r="B14" s="75"/>
      <c r="C14" s="72"/>
      <c r="D14" s="78"/>
      <c r="E14" s="81"/>
      <c r="F14" s="84"/>
      <c r="G14" s="87"/>
      <c r="H14" s="87"/>
      <c r="I14" s="90"/>
      <c r="J14" s="93"/>
      <c r="K14" s="96"/>
      <c r="L14" s="8" t="s">
        <v>165</v>
      </c>
      <c r="M14" s="9">
        <v>2</v>
      </c>
      <c r="N14" s="9">
        <v>2</v>
      </c>
      <c r="O14" s="40" t="s">
        <v>168</v>
      </c>
    </row>
    <row r="15" spans="1:15" x14ac:dyDescent="0.25">
      <c r="B15" s="75"/>
      <c r="C15" s="72"/>
      <c r="D15" s="78"/>
      <c r="E15" s="81"/>
      <c r="F15" s="84"/>
      <c r="G15" s="87"/>
      <c r="H15" s="87"/>
      <c r="I15" s="90"/>
      <c r="J15" s="93"/>
      <c r="K15" s="96"/>
      <c r="L15" s="8" t="s">
        <v>166</v>
      </c>
      <c r="M15" s="55">
        <v>4</v>
      </c>
      <c r="N15" s="55">
        <v>2</v>
      </c>
      <c r="O15" s="40" t="s">
        <v>169</v>
      </c>
    </row>
    <row r="16" spans="1:15" x14ac:dyDescent="0.25">
      <c r="B16" s="75"/>
      <c r="C16" s="72"/>
      <c r="D16" s="79"/>
      <c r="E16" s="82"/>
      <c r="F16" s="85"/>
      <c r="G16" s="88"/>
      <c r="H16" s="88"/>
      <c r="I16" s="91"/>
      <c r="J16" s="94"/>
      <c r="K16" s="97"/>
      <c r="L16" s="54" t="s">
        <v>158</v>
      </c>
      <c r="M16" s="57">
        <v>6</v>
      </c>
      <c r="N16" s="57">
        <v>2</v>
      </c>
      <c r="O16" s="41" t="s">
        <v>170</v>
      </c>
    </row>
    <row r="17" spans="2:15" x14ac:dyDescent="0.25">
      <c r="B17" s="75"/>
      <c r="C17" s="72"/>
      <c r="D17" s="77" t="s">
        <v>173</v>
      </c>
      <c r="E17" s="80">
        <v>2</v>
      </c>
      <c r="F17" s="83" t="str">
        <f>CONCATENATE("0x",DEC2HEX(32*$C$9+E17,3))</f>
        <v>0x022</v>
      </c>
      <c r="G17" s="86" t="s">
        <v>85</v>
      </c>
      <c r="H17" s="86">
        <v>5</v>
      </c>
      <c r="I17" s="89">
        <f>SUM(N17:N20)</f>
        <v>8</v>
      </c>
      <c r="J17" s="92">
        <f>CEILING(('CAN Protocol'!$D$4+'CAN Messages Table'!I17:I17*8)*'CAN Protocol'!$D$5,1)</f>
        <v>130</v>
      </c>
      <c r="K17" s="95">
        <f>J17*H17/(8*('CAN Protocol'!$D$6*1000/8))</f>
        <v>5.1999999999999998E-3</v>
      </c>
      <c r="L17" s="34" t="s">
        <v>164</v>
      </c>
      <c r="M17" s="56">
        <v>0</v>
      </c>
      <c r="N17" s="56">
        <v>2</v>
      </c>
      <c r="O17" s="39" t="s">
        <v>167</v>
      </c>
    </row>
    <row r="18" spans="2:15" x14ac:dyDescent="0.25">
      <c r="B18" s="75"/>
      <c r="C18" s="72"/>
      <c r="D18" s="78"/>
      <c r="E18" s="81"/>
      <c r="F18" s="84"/>
      <c r="G18" s="87"/>
      <c r="H18" s="87"/>
      <c r="I18" s="90"/>
      <c r="J18" s="93"/>
      <c r="K18" s="96"/>
      <c r="L18" s="8" t="s">
        <v>165</v>
      </c>
      <c r="M18" s="9">
        <v>2</v>
      </c>
      <c r="N18" s="9">
        <v>2</v>
      </c>
      <c r="O18" s="40" t="s">
        <v>168</v>
      </c>
    </row>
    <row r="19" spans="2:15" x14ac:dyDescent="0.25">
      <c r="B19" s="75"/>
      <c r="C19" s="72"/>
      <c r="D19" s="78"/>
      <c r="E19" s="81"/>
      <c r="F19" s="84"/>
      <c r="G19" s="87"/>
      <c r="H19" s="87"/>
      <c r="I19" s="90"/>
      <c r="J19" s="93"/>
      <c r="K19" s="96"/>
      <c r="L19" s="8" t="s">
        <v>166</v>
      </c>
      <c r="M19" s="55">
        <v>4</v>
      </c>
      <c r="N19" s="55">
        <v>2</v>
      </c>
      <c r="O19" s="40" t="s">
        <v>169</v>
      </c>
    </row>
    <row r="20" spans="2:15" x14ac:dyDescent="0.25">
      <c r="B20" s="76"/>
      <c r="C20" s="73"/>
      <c r="D20" s="79"/>
      <c r="E20" s="82"/>
      <c r="F20" s="85"/>
      <c r="G20" s="88"/>
      <c r="H20" s="88"/>
      <c r="I20" s="91"/>
      <c r="J20" s="94"/>
      <c r="K20" s="97"/>
      <c r="L20" s="54" t="s">
        <v>158</v>
      </c>
      <c r="M20" s="57">
        <v>6</v>
      </c>
      <c r="N20" s="57">
        <v>2</v>
      </c>
      <c r="O20" s="41" t="s">
        <v>170</v>
      </c>
    </row>
    <row r="21" spans="2:15" x14ac:dyDescent="0.25">
      <c r="B21" s="103" t="s">
        <v>33</v>
      </c>
      <c r="C21" s="71">
        <v>2</v>
      </c>
      <c r="D21" s="77" t="s">
        <v>97</v>
      </c>
      <c r="E21" s="86">
        <v>0</v>
      </c>
      <c r="F21" s="83" t="str">
        <f>CONCATENATE("0x",DEC2HEX(32*$C$21+E21,3))</f>
        <v>0x040</v>
      </c>
      <c r="G21" s="86" t="s">
        <v>85</v>
      </c>
      <c r="H21" s="86">
        <v>5</v>
      </c>
      <c r="I21" s="89">
        <f>SUM(N21:N26)</f>
        <v>6</v>
      </c>
      <c r="J21" s="92">
        <f>CEILING(('CAN Protocol'!$D$4+'CAN Messages Table'!I21:I21*8)*'CAN Protocol'!$D$5,1)</f>
        <v>111</v>
      </c>
      <c r="K21" s="95">
        <f>J21*H21/(8*('CAN Protocol'!$D$6*1000/8))</f>
        <v>4.4400000000000004E-3</v>
      </c>
      <c r="L21" s="34" t="s">
        <v>136</v>
      </c>
      <c r="M21" s="33">
        <v>0</v>
      </c>
      <c r="N21" s="33">
        <v>1</v>
      </c>
      <c r="O21" s="39" t="s">
        <v>142</v>
      </c>
    </row>
    <row r="22" spans="2:15" x14ac:dyDescent="0.25">
      <c r="B22" s="104"/>
      <c r="C22" s="72"/>
      <c r="D22" s="78"/>
      <c r="E22" s="87"/>
      <c r="F22" s="84"/>
      <c r="G22" s="87"/>
      <c r="H22" s="87"/>
      <c r="I22" s="90"/>
      <c r="J22" s="93"/>
      <c r="K22" s="96"/>
      <c r="L22" s="8" t="s">
        <v>137</v>
      </c>
      <c r="M22" s="9">
        <v>1</v>
      </c>
      <c r="N22" s="9">
        <v>1</v>
      </c>
      <c r="O22" s="40" t="s">
        <v>143</v>
      </c>
    </row>
    <row r="23" spans="2:15" x14ac:dyDescent="0.25">
      <c r="B23" s="104"/>
      <c r="C23" s="72"/>
      <c r="D23" s="78"/>
      <c r="E23" s="87"/>
      <c r="F23" s="84"/>
      <c r="G23" s="87"/>
      <c r="H23" s="87"/>
      <c r="I23" s="90"/>
      <c r="J23" s="93"/>
      <c r="K23" s="96"/>
      <c r="L23" s="8" t="s">
        <v>138</v>
      </c>
      <c r="M23" s="9">
        <v>2</v>
      </c>
      <c r="N23" s="9">
        <v>1</v>
      </c>
      <c r="O23" s="40" t="s">
        <v>144</v>
      </c>
    </row>
    <row r="24" spans="2:15" x14ac:dyDescent="0.25">
      <c r="B24" s="104"/>
      <c r="C24" s="72"/>
      <c r="D24" s="78"/>
      <c r="E24" s="87"/>
      <c r="F24" s="84"/>
      <c r="G24" s="87"/>
      <c r="H24" s="87"/>
      <c r="I24" s="90"/>
      <c r="J24" s="93"/>
      <c r="K24" s="96"/>
      <c r="L24" s="8" t="s">
        <v>139</v>
      </c>
      <c r="M24" s="9">
        <v>3</v>
      </c>
      <c r="N24" s="9">
        <v>1</v>
      </c>
      <c r="O24" s="40" t="s">
        <v>98</v>
      </c>
    </row>
    <row r="25" spans="2:15" x14ac:dyDescent="0.25">
      <c r="B25" s="104"/>
      <c r="C25" s="72"/>
      <c r="D25" s="78"/>
      <c r="E25" s="87"/>
      <c r="F25" s="84"/>
      <c r="G25" s="87"/>
      <c r="H25" s="87"/>
      <c r="I25" s="90"/>
      <c r="J25" s="93"/>
      <c r="K25" s="96"/>
      <c r="L25" s="8" t="s">
        <v>140</v>
      </c>
      <c r="M25" s="9">
        <v>4</v>
      </c>
      <c r="N25" s="9">
        <v>1</v>
      </c>
      <c r="O25" s="40" t="s">
        <v>99</v>
      </c>
    </row>
    <row r="26" spans="2:15" x14ac:dyDescent="0.25">
      <c r="B26" s="105"/>
      <c r="C26" s="73"/>
      <c r="D26" s="78"/>
      <c r="E26" s="88"/>
      <c r="F26" s="85"/>
      <c r="G26" s="88"/>
      <c r="H26" s="88"/>
      <c r="I26" s="91"/>
      <c r="J26" s="94"/>
      <c r="K26" s="97"/>
      <c r="L26" s="2" t="s">
        <v>141</v>
      </c>
      <c r="M26" s="11">
        <v>5</v>
      </c>
      <c r="N26" s="11">
        <v>1</v>
      </c>
      <c r="O26" s="41" t="s">
        <v>100</v>
      </c>
    </row>
    <row r="27" spans="2:15" x14ac:dyDescent="0.25">
      <c r="B27" s="116" t="s">
        <v>32</v>
      </c>
      <c r="C27" s="71">
        <v>3</v>
      </c>
      <c r="D27" s="112" t="s">
        <v>127</v>
      </c>
      <c r="E27" s="86">
        <v>0</v>
      </c>
      <c r="F27" s="83" t="str">
        <f>CONCATENATE("0x",DEC2HEX(32*$C$27+E27,3))</f>
        <v>0x060</v>
      </c>
      <c r="G27" s="86" t="s">
        <v>85</v>
      </c>
      <c r="H27" s="86">
        <v>20</v>
      </c>
      <c r="I27" s="89">
        <f>SUM(N27:N28)</f>
        <v>2</v>
      </c>
      <c r="J27" s="92">
        <f>CEILING(('CAN Protocol'!$D$4+'CAN Messages Table'!I27:I27*8)*'CAN Protocol'!$D$5,1)</f>
        <v>72</v>
      </c>
      <c r="K27" s="95">
        <f>J27*H27/(8*('CAN Protocol'!$D$6*1000/8))</f>
        <v>1.1520000000000001E-2</v>
      </c>
      <c r="L27" s="18" t="s">
        <v>95</v>
      </c>
      <c r="M27" s="23">
        <v>0</v>
      </c>
      <c r="N27" s="23">
        <v>1</v>
      </c>
      <c r="O27" s="40" t="s">
        <v>130</v>
      </c>
    </row>
    <row r="28" spans="2:15" x14ac:dyDescent="0.25">
      <c r="B28" s="117"/>
      <c r="C28" s="72"/>
      <c r="D28" s="98"/>
      <c r="E28" s="87"/>
      <c r="F28" s="84"/>
      <c r="G28" s="87"/>
      <c r="H28" s="87"/>
      <c r="I28" s="90"/>
      <c r="J28" s="93"/>
      <c r="K28" s="96"/>
      <c r="L28" s="18" t="s">
        <v>116</v>
      </c>
      <c r="M28" s="50">
        <v>1</v>
      </c>
      <c r="N28" s="50">
        <v>1</v>
      </c>
      <c r="O28" s="40" t="s">
        <v>131</v>
      </c>
    </row>
    <row r="29" spans="2:15" x14ac:dyDescent="0.25">
      <c r="B29" s="117"/>
      <c r="C29" s="72"/>
      <c r="D29" s="98" t="s">
        <v>128</v>
      </c>
      <c r="E29" s="87">
        <v>1</v>
      </c>
      <c r="F29" s="83" t="str">
        <f>CONCATENATE("0x",DEC2HEX(32*$C$27+E29,3))</f>
        <v>0x061</v>
      </c>
      <c r="G29" s="87" t="s">
        <v>85</v>
      </c>
      <c r="H29" s="87">
        <v>20</v>
      </c>
      <c r="I29" s="90">
        <f>SUM(N29:N30)</f>
        <v>2</v>
      </c>
      <c r="J29" s="93">
        <f>CEILING(('CAN Protocol'!$D$4+'CAN Messages Table'!I29:I29*8)*'CAN Protocol'!$D$5,1)</f>
        <v>72</v>
      </c>
      <c r="K29" s="96">
        <f>J29*H29/(8*('CAN Protocol'!$D$6*1000/8))</f>
        <v>1.1520000000000001E-2</v>
      </c>
      <c r="L29" s="18" t="s">
        <v>95</v>
      </c>
      <c r="M29" s="12">
        <v>0</v>
      </c>
      <c r="N29" s="12">
        <v>1</v>
      </c>
      <c r="O29" s="40" t="s">
        <v>133</v>
      </c>
    </row>
    <row r="30" spans="2:15" x14ac:dyDescent="0.25">
      <c r="B30" s="117"/>
      <c r="C30" s="72"/>
      <c r="D30" s="98"/>
      <c r="E30" s="87"/>
      <c r="F30" s="84"/>
      <c r="G30" s="87"/>
      <c r="H30" s="87"/>
      <c r="I30" s="90"/>
      <c r="J30" s="93"/>
      <c r="K30" s="96"/>
      <c r="L30" s="18" t="s">
        <v>116</v>
      </c>
      <c r="M30" s="12">
        <v>1</v>
      </c>
      <c r="N30" s="12">
        <v>1</v>
      </c>
      <c r="O30" s="40" t="s">
        <v>132</v>
      </c>
    </row>
    <row r="31" spans="2:15" x14ac:dyDescent="0.25">
      <c r="B31" s="117"/>
      <c r="C31" s="72"/>
      <c r="D31" s="98" t="s">
        <v>129</v>
      </c>
      <c r="E31" s="87">
        <v>2</v>
      </c>
      <c r="F31" s="84" t="str">
        <f>CONCATENATE("0x",DEC2HEX(32*$C$27+E31,3))</f>
        <v>0x062</v>
      </c>
      <c r="G31" s="87" t="s">
        <v>85</v>
      </c>
      <c r="H31" s="87">
        <v>20</v>
      </c>
      <c r="I31" s="90">
        <f>SUM(N31:N32)</f>
        <v>2</v>
      </c>
      <c r="J31" s="93">
        <f>CEILING(('CAN Protocol'!$D$4+'CAN Messages Table'!I31:I31*8)*'CAN Protocol'!$D$5,1)</f>
        <v>72</v>
      </c>
      <c r="K31" s="96">
        <f>J31*H31/(8*('CAN Protocol'!$D$6*1000/8))</f>
        <v>1.1520000000000001E-2</v>
      </c>
      <c r="L31" s="18" t="s">
        <v>95</v>
      </c>
      <c r="M31" s="12">
        <v>0</v>
      </c>
      <c r="N31" s="12">
        <v>1</v>
      </c>
      <c r="O31" s="40" t="s">
        <v>134</v>
      </c>
    </row>
    <row r="32" spans="2:15" x14ac:dyDescent="0.25">
      <c r="B32" s="117"/>
      <c r="C32" s="72"/>
      <c r="D32" s="98"/>
      <c r="E32" s="87"/>
      <c r="F32" s="84"/>
      <c r="G32" s="87"/>
      <c r="H32" s="87"/>
      <c r="I32" s="90"/>
      <c r="J32" s="93"/>
      <c r="K32" s="96"/>
      <c r="L32" s="18" t="s">
        <v>116</v>
      </c>
      <c r="M32" s="12">
        <v>1</v>
      </c>
      <c r="N32" s="12">
        <v>1</v>
      </c>
      <c r="O32" s="40" t="s">
        <v>135</v>
      </c>
    </row>
    <row r="33" spans="2:15" x14ac:dyDescent="0.25">
      <c r="B33" s="117"/>
      <c r="C33" s="72"/>
      <c r="D33" s="98" t="s">
        <v>149</v>
      </c>
      <c r="E33" s="87">
        <v>3</v>
      </c>
      <c r="F33" s="84" t="str">
        <f>CONCATENATE("0x",DEC2HEX(32*$C$27+E33,3))</f>
        <v>0x063</v>
      </c>
      <c r="G33" s="87" t="s">
        <v>85</v>
      </c>
      <c r="H33" s="87">
        <v>5</v>
      </c>
      <c r="I33" s="90">
        <f>SUM(N33:N34)</f>
        <v>3</v>
      </c>
      <c r="J33" s="93">
        <f>CEILING(('CAN Protocol'!$D$4+'CAN Messages Table'!I33:I33*8)*'CAN Protocol'!$D$5,1)</f>
        <v>82</v>
      </c>
      <c r="K33" s="96">
        <f>J33*H33/(8*('CAN Protocol'!$D$6*1000/8))</f>
        <v>3.2799999999999999E-3</v>
      </c>
      <c r="L33" s="18" t="s">
        <v>160</v>
      </c>
      <c r="M33" s="52">
        <v>0</v>
      </c>
      <c r="N33" s="52">
        <v>2</v>
      </c>
      <c r="O33" s="40" t="s">
        <v>151</v>
      </c>
    </row>
    <row r="34" spans="2:15" x14ac:dyDescent="0.25">
      <c r="B34" s="117"/>
      <c r="C34" s="72"/>
      <c r="D34" s="98"/>
      <c r="E34" s="87"/>
      <c r="F34" s="84"/>
      <c r="G34" s="87"/>
      <c r="H34" s="87"/>
      <c r="I34" s="90"/>
      <c r="J34" s="93"/>
      <c r="K34" s="96"/>
      <c r="L34" s="31" t="s">
        <v>112</v>
      </c>
      <c r="M34" s="52">
        <v>2</v>
      </c>
      <c r="N34" s="52">
        <v>1</v>
      </c>
      <c r="O34" s="40" t="s">
        <v>150</v>
      </c>
    </row>
    <row r="35" spans="2:15" x14ac:dyDescent="0.25">
      <c r="B35" s="117"/>
      <c r="C35" s="72"/>
      <c r="D35" s="98" t="s">
        <v>156</v>
      </c>
      <c r="E35" s="87">
        <v>4</v>
      </c>
      <c r="F35" s="84" t="str">
        <f>CONCATENATE("0x",DEC2HEX(32*$C$27+E35,3))</f>
        <v>0x064</v>
      </c>
      <c r="G35" s="87" t="s">
        <v>85</v>
      </c>
      <c r="H35" s="87">
        <v>5</v>
      </c>
      <c r="I35" s="90">
        <f>SUM(N35:N36)</f>
        <v>3</v>
      </c>
      <c r="J35" s="93">
        <f>CEILING(('CAN Protocol'!$D$4+'CAN Messages Table'!I35:I35*8)*'CAN Protocol'!$D$5,1)</f>
        <v>82</v>
      </c>
      <c r="K35" s="96">
        <f>J35*H35/(8*('CAN Protocol'!$D$6*1000/8))</f>
        <v>3.2799999999999999E-3</v>
      </c>
      <c r="L35" s="18" t="s">
        <v>160</v>
      </c>
      <c r="M35" s="52">
        <v>0</v>
      </c>
      <c r="N35" s="52">
        <v>2</v>
      </c>
      <c r="O35" s="40" t="s">
        <v>152</v>
      </c>
    </row>
    <row r="36" spans="2:15" x14ac:dyDescent="0.25">
      <c r="B36" s="117"/>
      <c r="C36" s="72"/>
      <c r="D36" s="98"/>
      <c r="E36" s="87"/>
      <c r="F36" s="84"/>
      <c r="G36" s="87"/>
      <c r="H36" s="87"/>
      <c r="I36" s="90"/>
      <c r="J36" s="93"/>
      <c r="K36" s="96"/>
      <c r="L36" s="31" t="s">
        <v>112</v>
      </c>
      <c r="M36" s="52">
        <v>2</v>
      </c>
      <c r="N36" s="52">
        <v>1</v>
      </c>
      <c r="O36" s="40" t="s">
        <v>153</v>
      </c>
    </row>
    <row r="37" spans="2:15" x14ac:dyDescent="0.25">
      <c r="B37" s="117"/>
      <c r="C37" s="72"/>
      <c r="D37" s="98" t="s">
        <v>157</v>
      </c>
      <c r="E37" s="87">
        <v>5</v>
      </c>
      <c r="F37" s="84" t="str">
        <f>CONCATENATE("0x",DEC2HEX(32*$C$27+E37,3))</f>
        <v>0x065</v>
      </c>
      <c r="G37" s="87" t="s">
        <v>85</v>
      </c>
      <c r="H37" s="87">
        <v>5</v>
      </c>
      <c r="I37" s="90">
        <f>SUM(N37:N38)</f>
        <v>3</v>
      </c>
      <c r="J37" s="93">
        <f>CEILING(('CAN Protocol'!$D$4+'CAN Messages Table'!I37:I37*8)*'CAN Protocol'!$D$5,1)</f>
        <v>82</v>
      </c>
      <c r="K37" s="96">
        <f>J37*H37/(8*('CAN Protocol'!$D$6*1000/8))</f>
        <v>3.2799999999999999E-3</v>
      </c>
      <c r="L37" s="18" t="s">
        <v>160</v>
      </c>
      <c r="M37" s="52">
        <v>0</v>
      </c>
      <c r="N37" s="52">
        <v>2</v>
      </c>
      <c r="O37" s="40" t="s">
        <v>154</v>
      </c>
    </row>
    <row r="38" spans="2:15" x14ac:dyDescent="0.25">
      <c r="B38" s="117"/>
      <c r="C38" s="72"/>
      <c r="D38" s="98"/>
      <c r="E38" s="87"/>
      <c r="F38" s="84"/>
      <c r="G38" s="87"/>
      <c r="H38" s="87"/>
      <c r="I38" s="90"/>
      <c r="J38" s="93"/>
      <c r="K38" s="96"/>
      <c r="L38" s="31" t="s">
        <v>112</v>
      </c>
      <c r="M38" s="52">
        <v>2</v>
      </c>
      <c r="N38" s="52">
        <v>1</v>
      </c>
      <c r="O38" s="40" t="s">
        <v>155</v>
      </c>
    </row>
    <row r="39" spans="2:15" x14ac:dyDescent="0.25">
      <c r="B39" s="117"/>
      <c r="C39" s="72"/>
      <c r="D39" s="98" t="s">
        <v>122</v>
      </c>
      <c r="E39" s="87">
        <v>6</v>
      </c>
      <c r="F39" s="84" t="str">
        <f>CONCATENATE("0x",DEC2HEX(32*$C$27+E39,3))</f>
        <v>0x066</v>
      </c>
      <c r="G39" s="87" t="s">
        <v>44</v>
      </c>
      <c r="H39" s="87">
        <v>20</v>
      </c>
      <c r="I39" s="90">
        <f>SUM(N39:N41)</f>
        <v>6</v>
      </c>
      <c r="J39" s="93">
        <f>CEILING(('CAN Protocol'!$D$4+'CAN Messages Table'!I39:I39*8)*'CAN Protocol'!$D$5,1)</f>
        <v>111</v>
      </c>
      <c r="K39" s="96">
        <f>J39*H39/(8*('CAN Protocol'!$D$6*1000/8))</f>
        <v>1.7760000000000001E-2</v>
      </c>
      <c r="L39" s="18" t="s">
        <v>161</v>
      </c>
      <c r="M39" s="12">
        <v>0</v>
      </c>
      <c r="N39" s="12">
        <v>2</v>
      </c>
      <c r="O39" s="40" t="s">
        <v>146</v>
      </c>
    </row>
    <row r="40" spans="2:15" x14ac:dyDescent="0.25">
      <c r="B40" s="117"/>
      <c r="C40" s="72"/>
      <c r="D40" s="98"/>
      <c r="E40" s="87"/>
      <c r="F40" s="84"/>
      <c r="G40" s="87"/>
      <c r="H40" s="87"/>
      <c r="I40" s="90"/>
      <c r="J40" s="93"/>
      <c r="K40" s="96"/>
      <c r="L40" s="18" t="s">
        <v>162</v>
      </c>
      <c r="M40" s="12">
        <v>2</v>
      </c>
      <c r="N40" s="12">
        <v>2</v>
      </c>
      <c r="O40" s="40" t="s">
        <v>147</v>
      </c>
    </row>
    <row r="41" spans="2:15" x14ac:dyDescent="0.25">
      <c r="B41" s="118"/>
      <c r="C41" s="73"/>
      <c r="D41" s="98"/>
      <c r="E41" s="87"/>
      <c r="F41" s="84"/>
      <c r="G41" s="87"/>
      <c r="H41" s="87"/>
      <c r="I41" s="90"/>
      <c r="J41" s="93"/>
      <c r="K41" s="96"/>
      <c r="L41" s="18" t="s">
        <v>163</v>
      </c>
      <c r="M41" s="12">
        <v>4</v>
      </c>
      <c r="N41" s="12">
        <v>2</v>
      </c>
      <c r="O41" s="40" t="s">
        <v>148</v>
      </c>
    </row>
    <row r="42" spans="2:15" x14ac:dyDescent="0.25">
      <c r="B42" s="113" t="s">
        <v>31</v>
      </c>
      <c r="C42" s="71">
        <v>4</v>
      </c>
      <c r="D42" s="112" t="s">
        <v>86</v>
      </c>
      <c r="E42" s="86">
        <v>0</v>
      </c>
      <c r="F42" s="83" t="str">
        <f>CONCATENATE("0x",DEC2HEX(32*$C$42+E42,3))</f>
        <v>0x080</v>
      </c>
      <c r="G42" s="86" t="s">
        <v>44</v>
      </c>
      <c r="H42" s="86">
        <v>0</v>
      </c>
      <c r="I42" s="89">
        <v>6</v>
      </c>
      <c r="J42" s="92">
        <f>CEILING(('CAN Protocol'!$D$4+'CAN Messages Table'!I42:I42*8)*'CAN Protocol'!$D$5,1)</f>
        <v>111</v>
      </c>
      <c r="K42" s="95">
        <f>J42*H42/(8*('CAN Protocol'!$D$6*1000/8))</f>
        <v>0</v>
      </c>
      <c r="L42" s="44" t="s">
        <v>101</v>
      </c>
      <c r="M42" s="33">
        <v>0</v>
      </c>
      <c r="N42" s="33">
        <v>1</v>
      </c>
      <c r="O42" s="39" t="s">
        <v>102</v>
      </c>
    </row>
    <row r="43" spans="2:15" x14ac:dyDescent="0.25">
      <c r="B43" s="114"/>
      <c r="C43" s="72"/>
      <c r="D43" s="98"/>
      <c r="E43" s="87"/>
      <c r="F43" s="84"/>
      <c r="G43" s="87"/>
      <c r="H43" s="87"/>
      <c r="I43" s="90"/>
      <c r="J43" s="93"/>
      <c r="K43" s="96"/>
      <c r="L43" s="28" t="s">
        <v>103</v>
      </c>
      <c r="M43" s="9">
        <v>1</v>
      </c>
      <c r="N43" s="9">
        <v>1</v>
      </c>
      <c r="O43" s="40" t="s">
        <v>104</v>
      </c>
    </row>
    <row r="44" spans="2:15" x14ac:dyDescent="0.25">
      <c r="B44" s="114"/>
      <c r="C44" s="72"/>
      <c r="D44" s="98"/>
      <c r="E44" s="87"/>
      <c r="F44" s="84"/>
      <c r="G44" s="87"/>
      <c r="H44" s="87"/>
      <c r="I44" s="90"/>
      <c r="J44" s="93"/>
      <c r="K44" s="96"/>
      <c r="L44" s="28" t="s">
        <v>105</v>
      </c>
      <c r="M44" s="9">
        <v>2</v>
      </c>
      <c r="N44" s="9">
        <v>1</v>
      </c>
      <c r="O44" s="40" t="s">
        <v>124</v>
      </c>
    </row>
    <row r="45" spans="2:15" x14ac:dyDescent="0.25">
      <c r="B45" s="114"/>
      <c r="C45" s="72"/>
      <c r="D45" s="98"/>
      <c r="E45" s="87"/>
      <c r="F45" s="84"/>
      <c r="G45" s="87"/>
      <c r="H45" s="87"/>
      <c r="I45" s="90"/>
      <c r="J45" s="93"/>
      <c r="K45" s="96"/>
      <c r="L45" s="28" t="s">
        <v>106</v>
      </c>
      <c r="M45" s="9">
        <v>3</v>
      </c>
      <c r="N45" s="9">
        <v>1</v>
      </c>
      <c r="O45" s="40" t="s">
        <v>123</v>
      </c>
    </row>
    <row r="46" spans="2:15" x14ac:dyDescent="0.25">
      <c r="B46" s="114"/>
      <c r="C46" s="72"/>
      <c r="D46" s="98"/>
      <c r="E46" s="87"/>
      <c r="F46" s="84"/>
      <c r="G46" s="87"/>
      <c r="H46" s="87"/>
      <c r="I46" s="90"/>
      <c r="J46" s="93"/>
      <c r="K46" s="96"/>
      <c r="L46" s="28" t="s">
        <v>107</v>
      </c>
      <c r="M46" s="9">
        <v>4</v>
      </c>
      <c r="N46" s="9">
        <v>1</v>
      </c>
      <c r="O46" s="40" t="s">
        <v>125</v>
      </c>
    </row>
    <row r="47" spans="2:15" x14ac:dyDescent="0.25">
      <c r="B47" s="115"/>
      <c r="C47" s="73"/>
      <c r="D47" s="99"/>
      <c r="E47" s="88"/>
      <c r="F47" s="85"/>
      <c r="G47" s="88"/>
      <c r="H47" s="88"/>
      <c r="I47" s="91"/>
      <c r="J47" s="94"/>
      <c r="K47" s="97"/>
      <c r="L47" s="45" t="s">
        <v>121</v>
      </c>
      <c r="M47" s="11">
        <v>5</v>
      </c>
      <c r="N47" s="11">
        <v>1</v>
      </c>
      <c r="O47" s="41" t="s">
        <v>126</v>
      </c>
    </row>
    <row r="48" spans="2:15" x14ac:dyDescent="0.25">
      <c r="B48" s="145" t="s">
        <v>189</v>
      </c>
      <c r="C48" s="71">
        <v>5</v>
      </c>
      <c r="D48" s="112" t="s">
        <v>174</v>
      </c>
      <c r="E48" s="86">
        <v>0</v>
      </c>
      <c r="F48" s="83" t="str">
        <f>CONCATENATE("0x",DEC2HEX(32*$C$48+E48,3))</f>
        <v>0x0A0</v>
      </c>
      <c r="G48" s="86" t="s">
        <v>85</v>
      </c>
      <c r="H48" s="87">
        <v>20</v>
      </c>
      <c r="I48" s="89">
        <f>SUM(N48:N50)</f>
        <v>6</v>
      </c>
      <c r="J48" s="92">
        <f>CEILING(('CAN Protocol'!$D$4+'CAN Messages Table'!I48*8)*'CAN Protocol'!$D$5,1)</f>
        <v>111</v>
      </c>
      <c r="K48" s="95">
        <f>J48*H48/(8*('CAN Protocol'!$D$6*1000/8))</f>
        <v>1.7760000000000001E-2</v>
      </c>
      <c r="L48" s="28" t="s">
        <v>178</v>
      </c>
      <c r="M48" s="66">
        <v>0</v>
      </c>
      <c r="N48" s="66">
        <v>2</v>
      </c>
      <c r="O48" s="40" t="s">
        <v>180</v>
      </c>
    </row>
    <row r="49" spans="2:15" x14ac:dyDescent="0.25">
      <c r="B49" s="144"/>
      <c r="C49" s="72"/>
      <c r="D49" s="98"/>
      <c r="E49" s="87"/>
      <c r="F49" s="84"/>
      <c r="G49" s="87"/>
      <c r="H49" s="87"/>
      <c r="I49" s="90"/>
      <c r="J49" s="93"/>
      <c r="K49" s="96"/>
      <c r="L49" s="28" t="s">
        <v>179</v>
      </c>
      <c r="M49" s="66">
        <v>2</v>
      </c>
      <c r="N49" s="66">
        <v>2</v>
      </c>
      <c r="O49" s="40" t="s">
        <v>181</v>
      </c>
    </row>
    <row r="50" spans="2:15" x14ac:dyDescent="0.25">
      <c r="B50" s="144"/>
      <c r="C50" s="72"/>
      <c r="D50" s="98"/>
      <c r="E50" s="87"/>
      <c r="F50" s="84"/>
      <c r="G50" s="87"/>
      <c r="H50" s="87"/>
      <c r="I50" s="90"/>
      <c r="J50" s="93"/>
      <c r="K50" s="96"/>
      <c r="L50" s="28" t="s">
        <v>177</v>
      </c>
      <c r="M50" s="66">
        <v>4</v>
      </c>
      <c r="N50" s="66">
        <v>2</v>
      </c>
      <c r="O50" s="40" t="s">
        <v>188</v>
      </c>
    </row>
    <row r="51" spans="2:15" x14ac:dyDescent="0.25">
      <c r="B51" s="144"/>
      <c r="C51" s="72"/>
      <c r="D51" s="98" t="s">
        <v>175</v>
      </c>
      <c r="E51" s="87">
        <v>1</v>
      </c>
      <c r="F51" s="84" t="str">
        <f t="shared" ref="F51" si="0">CONCATENATE("0x",DEC2HEX(32*$C$48+E51,3))</f>
        <v>0x0A1</v>
      </c>
      <c r="G51" s="87" t="s">
        <v>85</v>
      </c>
      <c r="H51" s="87">
        <v>5</v>
      </c>
      <c r="I51" s="90">
        <f t="shared" ref="I51" si="1">SUM(N51:N53)</f>
        <v>6</v>
      </c>
      <c r="J51" s="93">
        <f>CEILING(('CAN Protocol'!$D$4+'CAN Messages Table'!I51*8)*'CAN Protocol'!$D$5,1)</f>
        <v>111</v>
      </c>
      <c r="K51" s="96">
        <f>J51*H51/(8*('CAN Protocol'!$D$6*1000/8))</f>
        <v>4.4400000000000004E-3</v>
      </c>
      <c r="L51" s="28" t="s">
        <v>178</v>
      </c>
      <c r="M51" s="66">
        <v>0</v>
      </c>
      <c r="N51" s="66">
        <v>2</v>
      </c>
      <c r="O51" s="40" t="s">
        <v>182</v>
      </c>
    </row>
    <row r="52" spans="2:15" x14ac:dyDescent="0.25">
      <c r="B52" s="144"/>
      <c r="C52" s="72"/>
      <c r="D52" s="98"/>
      <c r="E52" s="87"/>
      <c r="F52" s="84"/>
      <c r="G52" s="87"/>
      <c r="H52" s="87"/>
      <c r="I52" s="90"/>
      <c r="J52" s="93"/>
      <c r="K52" s="96"/>
      <c r="L52" s="28" t="s">
        <v>179</v>
      </c>
      <c r="M52" s="66">
        <v>2</v>
      </c>
      <c r="N52" s="66">
        <v>2</v>
      </c>
      <c r="O52" s="40" t="s">
        <v>183</v>
      </c>
    </row>
    <row r="53" spans="2:15" x14ac:dyDescent="0.25">
      <c r="B53" s="144"/>
      <c r="C53" s="72"/>
      <c r="D53" s="98"/>
      <c r="E53" s="87"/>
      <c r="F53" s="84"/>
      <c r="G53" s="87"/>
      <c r="H53" s="87"/>
      <c r="I53" s="90"/>
      <c r="J53" s="93"/>
      <c r="K53" s="96"/>
      <c r="L53" s="28" t="s">
        <v>177</v>
      </c>
      <c r="M53" s="66">
        <v>4</v>
      </c>
      <c r="N53" s="66">
        <v>2</v>
      </c>
      <c r="O53" s="40" t="s">
        <v>184</v>
      </c>
    </row>
    <row r="54" spans="2:15" x14ac:dyDescent="0.25">
      <c r="B54" s="144"/>
      <c r="C54" s="72"/>
      <c r="D54" s="98" t="s">
        <v>176</v>
      </c>
      <c r="E54" s="87">
        <v>2</v>
      </c>
      <c r="F54" s="84" t="str">
        <f t="shared" ref="F54" si="2">CONCATENATE("0x",DEC2HEX(32*$C$48+E54,3))</f>
        <v>0x0A2</v>
      </c>
      <c r="G54" s="87" t="s">
        <v>85</v>
      </c>
      <c r="H54" s="87">
        <v>5</v>
      </c>
      <c r="I54" s="90">
        <f t="shared" ref="I54" si="3">SUM(N54:N56)</f>
        <v>6</v>
      </c>
      <c r="J54" s="93">
        <f>CEILING(('CAN Protocol'!$D$4+'CAN Messages Table'!I54*8)*'CAN Protocol'!$D$5,1)</f>
        <v>111</v>
      </c>
      <c r="K54" s="96">
        <f>J54*H54/(8*('CAN Protocol'!$D$6*1000/8))</f>
        <v>4.4400000000000004E-3</v>
      </c>
      <c r="L54" s="28" t="s">
        <v>178</v>
      </c>
      <c r="M54" s="66">
        <v>0</v>
      </c>
      <c r="N54" s="66">
        <v>2</v>
      </c>
      <c r="O54" s="40" t="s">
        <v>185</v>
      </c>
    </row>
    <row r="55" spans="2:15" x14ac:dyDescent="0.25">
      <c r="B55" s="144"/>
      <c r="C55" s="72"/>
      <c r="D55" s="98"/>
      <c r="E55" s="87"/>
      <c r="F55" s="84"/>
      <c r="G55" s="87"/>
      <c r="H55" s="87"/>
      <c r="I55" s="90"/>
      <c r="J55" s="93"/>
      <c r="K55" s="96"/>
      <c r="L55" s="28" t="s">
        <v>179</v>
      </c>
      <c r="M55" s="66">
        <v>2</v>
      </c>
      <c r="N55" s="66">
        <v>2</v>
      </c>
      <c r="O55" s="40" t="s">
        <v>186</v>
      </c>
    </row>
    <row r="56" spans="2:15" x14ac:dyDescent="0.25">
      <c r="B56" s="146"/>
      <c r="C56" s="73"/>
      <c r="D56" s="99"/>
      <c r="E56" s="88"/>
      <c r="F56" s="84"/>
      <c r="G56" s="88"/>
      <c r="H56" s="87"/>
      <c r="I56" s="90"/>
      <c r="J56" s="93"/>
      <c r="K56" s="96"/>
      <c r="L56" s="28" t="s">
        <v>177</v>
      </c>
      <c r="M56" s="66">
        <v>4</v>
      </c>
      <c r="N56" s="66">
        <v>2</v>
      </c>
      <c r="O56" s="40" t="s">
        <v>187</v>
      </c>
    </row>
    <row r="57" spans="2:15" x14ac:dyDescent="0.25">
      <c r="B57" s="141" t="s">
        <v>159</v>
      </c>
      <c r="C57" s="71">
        <v>6</v>
      </c>
      <c r="D57" s="34" t="s">
        <v>74</v>
      </c>
      <c r="E57" s="64">
        <v>0</v>
      </c>
      <c r="F57" s="142" t="str">
        <f>CONCATENATE("0x",DEC2HEX(32*$C$57+E57,3))</f>
        <v>0x0C0</v>
      </c>
      <c r="G57" s="64" t="s">
        <v>44</v>
      </c>
      <c r="H57" s="64">
        <v>0</v>
      </c>
      <c r="I57" s="61">
        <f>SUM(N57:N57)</f>
        <v>2</v>
      </c>
      <c r="J57" s="60">
        <f>CEILING(('CAN Protocol'!$D$4+'CAN Messages Table'!I57:I57*8)*'CAN Protocol'!$D$5,1)</f>
        <v>72</v>
      </c>
      <c r="K57" s="59">
        <f>J57*H57/(8*('CAN Protocol'!$D$6*1000/8))</f>
        <v>0</v>
      </c>
      <c r="L57" s="34" t="s">
        <v>75</v>
      </c>
      <c r="M57" s="64">
        <v>0</v>
      </c>
      <c r="N57" s="64">
        <v>2</v>
      </c>
      <c r="O57" s="39" t="s">
        <v>108</v>
      </c>
    </row>
    <row r="58" spans="2:15" x14ac:dyDescent="0.25">
      <c r="B58" s="111"/>
      <c r="C58" s="73"/>
      <c r="D58" s="2" t="s">
        <v>117</v>
      </c>
      <c r="E58" s="65">
        <v>1</v>
      </c>
      <c r="F58" s="143" t="str">
        <f>CONCATENATE("0x",DEC2HEX(32*$C$57+E58,3))</f>
        <v>0x0C1</v>
      </c>
      <c r="G58" s="65" t="s">
        <v>44</v>
      </c>
      <c r="H58" s="65">
        <v>0</v>
      </c>
      <c r="I58" s="63">
        <f>SUM(N58:N58)</f>
        <v>1</v>
      </c>
      <c r="J58" s="58">
        <f>CEILING(('CAN Protocol'!$D$4+'CAN Messages Table'!I58:I58*8)*'CAN Protocol'!$D$5,1)</f>
        <v>63</v>
      </c>
      <c r="K58" s="62">
        <f>J58*H58/(8*('CAN Protocol'!$D$6*1000/8))</f>
        <v>0</v>
      </c>
      <c r="L58" s="45" t="s">
        <v>118</v>
      </c>
      <c r="M58" s="65">
        <v>0</v>
      </c>
      <c r="N58" s="65">
        <v>1</v>
      </c>
      <c r="O58" s="41" t="s">
        <v>119</v>
      </c>
    </row>
    <row r="59" spans="2:15" x14ac:dyDescent="0.25">
      <c r="B59" s="119" t="s">
        <v>29</v>
      </c>
      <c r="C59" s="71">
        <v>14</v>
      </c>
      <c r="D59" s="112" t="s">
        <v>48</v>
      </c>
      <c r="E59" s="86">
        <v>0</v>
      </c>
      <c r="F59" s="83" t="str">
        <f>CONCATENATE("0x",DEC2HEX(32*$C$59+E59,3))</f>
        <v>0x1C0</v>
      </c>
      <c r="G59" s="86" t="s">
        <v>44</v>
      </c>
      <c r="H59" s="86">
        <v>0</v>
      </c>
      <c r="I59" s="89">
        <f>SUM(N59:N60)</f>
        <v>8</v>
      </c>
      <c r="J59" s="92">
        <f>CEILING(('CAN Protocol'!$D$4+'CAN Messages Table'!I59:I60*8)*'CAN Protocol'!$D$5,1)</f>
        <v>130</v>
      </c>
      <c r="K59" s="95">
        <f>J59*H59/(8*('CAN Protocol'!$D$6*1000/8))</f>
        <v>0</v>
      </c>
      <c r="L59" s="34" t="s">
        <v>56</v>
      </c>
      <c r="M59" s="33">
        <v>0</v>
      </c>
      <c r="N59" s="33">
        <v>1</v>
      </c>
      <c r="O59" s="39" t="s">
        <v>58</v>
      </c>
    </row>
    <row r="60" spans="2:15" x14ac:dyDescent="0.25">
      <c r="B60" s="120"/>
      <c r="C60" s="72"/>
      <c r="D60" s="98"/>
      <c r="E60" s="87"/>
      <c r="F60" s="84"/>
      <c r="G60" s="87"/>
      <c r="H60" s="87"/>
      <c r="I60" s="90"/>
      <c r="J60" s="93"/>
      <c r="K60" s="96"/>
      <c r="L60" s="8" t="s">
        <v>57</v>
      </c>
      <c r="M60" s="9">
        <v>1</v>
      </c>
      <c r="N60" s="9">
        <v>7</v>
      </c>
      <c r="O60" s="40" t="s">
        <v>59</v>
      </c>
    </row>
    <row r="61" spans="2:15" x14ac:dyDescent="0.25">
      <c r="B61" s="120"/>
      <c r="C61" s="72"/>
      <c r="D61" s="98" t="s">
        <v>49</v>
      </c>
      <c r="E61" s="87">
        <v>1</v>
      </c>
      <c r="F61" s="84" t="str">
        <f>CONCATENATE("0x",DEC2HEX(32*$C$59+E61,3))</f>
        <v>0x1C1</v>
      </c>
      <c r="G61" s="87" t="s">
        <v>44</v>
      </c>
      <c r="H61" s="87">
        <v>0</v>
      </c>
      <c r="I61" s="90">
        <f>SUM(N61:N62)</f>
        <v>8</v>
      </c>
      <c r="J61" s="93">
        <f>CEILING(('CAN Protocol'!$D$4+'CAN Messages Table'!I61:I62*8)*'CAN Protocol'!$D$5,1)</f>
        <v>130</v>
      </c>
      <c r="K61" s="96">
        <f>J61*H61/(8*('CAN Protocol'!$D$6*1000/8))</f>
        <v>0</v>
      </c>
      <c r="L61" s="8" t="s">
        <v>56</v>
      </c>
      <c r="M61" s="9">
        <v>0</v>
      </c>
      <c r="N61" s="9">
        <v>1</v>
      </c>
      <c r="O61" s="40" t="s">
        <v>60</v>
      </c>
    </row>
    <row r="62" spans="2:15" x14ac:dyDescent="0.25">
      <c r="B62" s="120"/>
      <c r="C62" s="72"/>
      <c r="D62" s="98"/>
      <c r="E62" s="87"/>
      <c r="F62" s="84"/>
      <c r="G62" s="87"/>
      <c r="H62" s="87"/>
      <c r="I62" s="90"/>
      <c r="J62" s="93"/>
      <c r="K62" s="96"/>
      <c r="L62" s="8" t="s">
        <v>57</v>
      </c>
      <c r="M62" s="9">
        <v>1</v>
      </c>
      <c r="N62" s="9">
        <v>7</v>
      </c>
      <c r="O62" s="40" t="s">
        <v>61</v>
      </c>
    </row>
    <row r="63" spans="2:15" x14ac:dyDescent="0.25">
      <c r="B63" s="120"/>
      <c r="C63" s="72"/>
      <c r="D63" s="98" t="s">
        <v>50</v>
      </c>
      <c r="E63" s="87">
        <v>2</v>
      </c>
      <c r="F63" s="84" t="str">
        <f>CONCATENATE("0x",DEC2HEX(32*$C$59+E63,3))</f>
        <v>0x1C2</v>
      </c>
      <c r="G63" s="87" t="s">
        <v>44</v>
      </c>
      <c r="H63" s="87">
        <v>0</v>
      </c>
      <c r="I63" s="90">
        <f>SUM(N63:N64)</f>
        <v>8</v>
      </c>
      <c r="J63" s="93">
        <f>CEILING(('CAN Protocol'!$D$4+'CAN Messages Table'!I63:I64*8)*'CAN Protocol'!$D$5,1)</f>
        <v>130</v>
      </c>
      <c r="K63" s="96">
        <f>J63*H63/(8*('CAN Protocol'!$D$6*1000/8))</f>
        <v>0</v>
      </c>
      <c r="L63" s="8" t="s">
        <v>56</v>
      </c>
      <c r="M63" s="9">
        <v>0</v>
      </c>
      <c r="N63" s="9">
        <v>1</v>
      </c>
      <c r="O63" s="40" t="s">
        <v>62</v>
      </c>
    </row>
    <row r="64" spans="2:15" x14ac:dyDescent="0.25">
      <c r="B64" s="120"/>
      <c r="C64" s="72"/>
      <c r="D64" s="98"/>
      <c r="E64" s="87"/>
      <c r="F64" s="84"/>
      <c r="G64" s="87"/>
      <c r="H64" s="87"/>
      <c r="I64" s="90"/>
      <c r="J64" s="93"/>
      <c r="K64" s="96"/>
      <c r="L64" s="8" t="s">
        <v>57</v>
      </c>
      <c r="M64" s="9">
        <v>1</v>
      </c>
      <c r="N64" s="9">
        <v>7</v>
      </c>
      <c r="O64" s="40" t="s">
        <v>63</v>
      </c>
    </row>
    <row r="65" spans="2:15" x14ac:dyDescent="0.25">
      <c r="B65" s="120"/>
      <c r="C65" s="72"/>
      <c r="D65" s="98" t="s">
        <v>51</v>
      </c>
      <c r="E65" s="87">
        <v>3</v>
      </c>
      <c r="F65" s="84" t="str">
        <f>CONCATENATE("0x",DEC2HEX(32*$C$59+E65,3))</f>
        <v>0x1C3</v>
      </c>
      <c r="G65" s="87" t="s">
        <v>44</v>
      </c>
      <c r="H65" s="87">
        <v>0</v>
      </c>
      <c r="I65" s="90">
        <f>SUM(N65:N66)</f>
        <v>8</v>
      </c>
      <c r="J65" s="93">
        <f>CEILING(('CAN Protocol'!$D$4+'CAN Messages Table'!I65:I66*8)*'CAN Protocol'!$D$5,1)</f>
        <v>130</v>
      </c>
      <c r="K65" s="96">
        <f>J65*H65/(8*('CAN Protocol'!$D$6*1000/8))</f>
        <v>0</v>
      </c>
      <c r="L65" s="8" t="s">
        <v>56</v>
      </c>
      <c r="M65" s="9">
        <v>0</v>
      </c>
      <c r="N65" s="9">
        <v>1</v>
      </c>
      <c r="O65" s="40" t="s">
        <v>64</v>
      </c>
    </row>
    <row r="66" spans="2:15" x14ac:dyDescent="0.25">
      <c r="B66" s="120"/>
      <c r="C66" s="72"/>
      <c r="D66" s="98"/>
      <c r="E66" s="87"/>
      <c r="F66" s="84"/>
      <c r="G66" s="87"/>
      <c r="H66" s="87"/>
      <c r="I66" s="90"/>
      <c r="J66" s="93"/>
      <c r="K66" s="96"/>
      <c r="L66" s="8" t="s">
        <v>57</v>
      </c>
      <c r="M66" s="9">
        <v>1</v>
      </c>
      <c r="N66" s="9">
        <v>7</v>
      </c>
      <c r="O66" s="40" t="s">
        <v>65</v>
      </c>
    </row>
    <row r="67" spans="2:15" x14ac:dyDescent="0.25">
      <c r="B67" s="120"/>
      <c r="C67" s="72"/>
      <c r="D67" s="98" t="s">
        <v>52</v>
      </c>
      <c r="E67" s="87">
        <v>4</v>
      </c>
      <c r="F67" s="84" t="str">
        <f>CONCATENATE("0x",DEC2HEX(32*$C$59+E67,3))</f>
        <v>0x1C4</v>
      </c>
      <c r="G67" s="87" t="s">
        <v>44</v>
      </c>
      <c r="H67" s="87">
        <v>0</v>
      </c>
      <c r="I67" s="90">
        <f>SUM(N67:N68)</f>
        <v>8</v>
      </c>
      <c r="J67" s="93">
        <f>CEILING(('CAN Protocol'!$D$4+'CAN Messages Table'!I67:I68*8)*'CAN Protocol'!$D$5,1)</f>
        <v>130</v>
      </c>
      <c r="K67" s="96">
        <f>J67*H67/(8*('CAN Protocol'!$D$6*1000/8))</f>
        <v>0</v>
      </c>
      <c r="L67" s="8" t="s">
        <v>56</v>
      </c>
      <c r="M67" s="9">
        <v>0</v>
      </c>
      <c r="N67" s="9">
        <v>1</v>
      </c>
      <c r="O67" s="40" t="s">
        <v>66</v>
      </c>
    </row>
    <row r="68" spans="2:15" x14ac:dyDescent="0.25">
      <c r="B68" s="120"/>
      <c r="C68" s="72"/>
      <c r="D68" s="98"/>
      <c r="E68" s="87"/>
      <c r="F68" s="84"/>
      <c r="G68" s="87"/>
      <c r="H68" s="87"/>
      <c r="I68" s="90"/>
      <c r="J68" s="93"/>
      <c r="K68" s="96"/>
      <c r="L68" s="8" t="s">
        <v>57</v>
      </c>
      <c r="M68" s="9">
        <v>1</v>
      </c>
      <c r="N68" s="9">
        <v>7</v>
      </c>
      <c r="O68" s="40" t="s">
        <v>67</v>
      </c>
    </row>
    <row r="69" spans="2:15" x14ac:dyDescent="0.25">
      <c r="B69" s="120"/>
      <c r="C69" s="72"/>
      <c r="D69" s="98" t="s">
        <v>53</v>
      </c>
      <c r="E69" s="87">
        <v>5</v>
      </c>
      <c r="F69" s="84" t="str">
        <f>CONCATENATE("0x",DEC2HEX(32*$C$59+E69,3))</f>
        <v>0x1C5</v>
      </c>
      <c r="G69" s="87" t="s">
        <v>44</v>
      </c>
      <c r="H69" s="87">
        <v>0</v>
      </c>
      <c r="I69" s="90">
        <f>SUM(N69:N70)</f>
        <v>8</v>
      </c>
      <c r="J69" s="93">
        <f>CEILING(('CAN Protocol'!$D$4+'CAN Messages Table'!I69:I70*8)*'CAN Protocol'!$D$5,1)</f>
        <v>130</v>
      </c>
      <c r="K69" s="96">
        <f>J69*H69/(8*('CAN Protocol'!$D$6*1000/8))</f>
        <v>0</v>
      </c>
      <c r="L69" s="8" t="s">
        <v>56</v>
      </c>
      <c r="M69" s="9">
        <v>0</v>
      </c>
      <c r="N69" s="9">
        <v>1</v>
      </c>
      <c r="O69" s="40" t="s">
        <v>68</v>
      </c>
    </row>
    <row r="70" spans="2:15" x14ac:dyDescent="0.25">
      <c r="B70" s="120"/>
      <c r="C70" s="72"/>
      <c r="D70" s="98"/>
      <c r="E70" s="87"/>
      <c r="F70" s="84"/>
      <c r="G70" s="87"/>
      <c r="H70" s="87"/>
      <c r="I70" s="90"/>
      <c r="J70" s="93"/>
      <c r="K70" s="96"/>
      <c r="L70" s="8" t="s">
        <v>57</v>
      </c>
      <c r="M70" s="9">
        <v>1</v>
      </c>
      <c r="N70" s="9">
        <v>7</v>
      </c>
      <c r="O70" s="40" t="s">
        <v>69</v>
      </c>
    </row>
    <row r="71" spans="2:15" x14ac:dyDescent="0.25">
      <c r="B71" s="120"/>
      <c r="C71" s="72"/>
      <c r="D71" s="98" t="s">
        <v>54</v>
      </c>
      <c r="E71" s="87">
        <v>6</v>
      </c>
      <c r="F71" s="84" t="str">
        <f>CONCATENATE("0x",DEC2HEX(32*$C$59+E71,3))</f>
        <v>0x1C6</v>
      </c>
      <c r="G71" s="87" t="s">
        <v>44</v>
      </c>
      <c r="H71" s="87">
        <v>0</v>
      </c>
      <c r="I71" s="90">
        <f>SUM(N71:N72)</f>
        <v>8</v>
      </c>
      <c r="J71" s="93">
        <f>CEILING(('CAN Protocol'!$D$4+'CAN Messages Table'!I71:I72*8)*'CAN Protocol'!$D$5,1)</f>
        <v>130</v>
      </c>
      <c r="K71" s="96">
        <f>J71*H71/(8*('CAN Protocol'!$D$6*1000/8))</f>
        <v>0</v>
      </c>
      <c r="L71" s="8" t="s">
        <v>56</v>
      </c>
      <c r="M71" s="9">
        <v>0</v>
      </c>
      <c r="N71" s="9">
        <v>1</v>
      </c>
      <c r="O71" s="40" t="s">
        <v>70</v>
      </c>
    </row>
    <row r="72" spans="2:15" x14ac:dyDescent="0.25">
      <c r="B72" s="120"/>
      <c r="C72" s="72"/>
      <c r="D72" s="98"/>
      <c r="E72" s="87"/>
      <c r="F72" s="84"/>
      <c r="G72" s="87"/>
      <c r="H72" s="87"/>
      <c r="I72" s="90"/>
      <c r="J72" s="93"/>
      <c r="K72" s="96"/>
      <c r="L72" s="8" t="s">
        <v>57</v>
      </c>
      <c r="M72" s="9">
        <v>1</v>
      </c>
      <c r="N72" s="9">
        <v>7</v>
      </c>
      <c r="O72" s="40" t="s">
        <v>71</v>
      </c>
    </row>
    <row r="73" spans="2:15" x14ac:dyDescent="0.25">
      <c r="B73" s="120"/>
      <c r="C73" s="72"/>
      <c r="D73" s="98" t="s">
        <v>55</v>
      </c>
      <c r="E73" s="87">
        <v>7</v>
      </c>
      <c r="F73" s="84" t="str">
        <f>CONCATENATE("0x",DEC2HEX(32*$C$59+E73,3))</f>
        <v>0x1C7</v>
      </c>
      <c r="G73" s="87" t="s">
        <v>44</v>
      </c>
      <c r="H73" s="87">
        <v>0</v>
      </c>
      <c r="I73" s="90">
        <f>SUM(N73:N74)</f>
        <v>8</v>
      </c>
      <c r="J73" s="93">
        <f>CEILING(('CAN Protocol'!$D$4+'CAN Messages Table'!I73:I74*8)*'CAN Protocol'!$D$5,1)</f>
        <v>130</v>
      </c>
      <c r="K73" s="96">
        <f>J73*H73/(8*('CAN Protocol'!$D$6*1000/8))</f>
        <v>0</v>
      </c>
      <c r="L73" s="8" t="s">
        <v>56</v>
      </c>
      <c r="M73" s="9">
        <v>0</v>
      </c>
      <c r="N73" s="9">
        <v>1</v>
      </c>
      <c r="O73" s="40" t="s">
        <v>72</v>
      </c>
    </row>
    <row r="74" spans="2:15" x14ac:dyDescent="0.25">
      <c r="B74" s="121"/>
      <c r="C74" s="73"/>
      <c r="D74" s="99"/>
      <c r="E74" s="88"/>
      <c r="F74" s="85"/>
      <c r="G74" s="88"/>
      <c r="H74" s="88"/>
      <c r="I74" s="91"/>
      <c r="J74" s="94"/>
      <c r="K74" s="97"/>
      <c r="L74" s="2" t="s">
        <v>57</v>
      </c>
      <c r="M74" s="11">
        <v>1</v>
      </c>
      <c r="N74" s="11">
        <v>7</v>
      </c>
      <c r="O74" s="41" t="s">
        <v>73</v>
      </c>
    </row>
    <row r="75" spans="2:15" x14ac:dyDescent="0.25">
      <c r="C75" s="13"/>
      <c r="F75" s="29"/>
      <c r="G75" s="1"/>
      <c r="H75" s="1"/>
      <c r="K75" s="36"/>
      <c r="O75" s="43"/>
    </row>
    <row r="76" spans="2:15" x14ac:dyDescent="0.25">
      <c r="B76" t="s">
        <v>28</v>
      </c>
      <c r="C76" s="13">
        <v>15</v>
      </c>
      <c r="D76" t="s">
        <v>109</v>
      </c>
      <c r="E76" s="1">
        <v>0</v>
      </c>
      <c r="F76" s="29"/>
      <c r="G76" s="1"/>
      <c r="H76" s="1"/>
      <c r="K76" s="36"/>
      <c r="O76" s="43"/>
    </row>
    <row r="77" spans="2:15" x14ac:dyDescent="0.25">
      <c r="B77" s="2"/>
      <c r="C77" s="16"/>
      <c r="D77" s="2"/>
      <c r="E77" s="10"/>
      <c r="F77" s="30"/>
      <c r="G77" s="2"/>
      <c r="H77" s="2"/>
      <c r="I77" s="2"/>
      <c r="J77" s="2"/>
      <c r="K77" s="37"/>
      <c r="L77" s="2"/>
      <c r="M77" s="10"/>
      <c r="N77" s="10"/>
      <c r="O77" s="41"/>
    </row>
    <row r="78" spans="2:15" s="24" customFormat="1" ht="12" x14ac:dyDescent="0.2">
      <c r="B78" s="53" t="s">
        <v>93</v>
      </c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</row>
    <row r="80" spans="2:15" x14ac:dyDescent="0.25">
      <c r="F80" s="133" t="s">
        <v>92</v>
      </c>
      <c r="G80" s="134"/>
      <c r="H80" s="134"/>
      <c r="I80" s="135"/>
      <c r="J80" s="19"/>
      <c r="K80" s="20"/>
    </row>
    <row r="81" spans="6:9" x14ac:dyDescent="0.25">
      <c r="F81" s="125" t="s">
        <v>110</v>
      </c>
      <c r="G81" s="126"/>
      <c r="H81" s="126"/>
      <c r="I81" s="21">
        <f>SUMPRODUCT(H5:H77,I5:I77)</f>
        <v>695</v>
      </c>
    </row>
    <row r="82" spans="6:9" x14ac:dyDescent="0.25">
      <c r="F82" s="125" t="s">
        <v>111</v>
      </c>
      <c r="G82" s="126"/>
      <c r="H82" s="126"/>
      <c r="I82" s="21">
        <f>SUMPRODUCT(H5:H77,J5:J77)/8</f>
        <v>1930.625</v>
      </c>
    </row>
    <row r="83" spans="6:9" x14ac:dyDescent="0.25">
      <c r="F83" s="127" t="s">
        <v>84</v>
      </c>
      <c r="G83" s="128"/>
      <c r="H83" s="128"/>
      <c r="I83" s="22">
        <f>$I$82/('CAN Protocol'!$D$6*1000/8)</f>
        <v>0.12356</v>
      </c>
    </row>
  </sheetData>
  <mergeCells count="223">
    <mergeCell ref="G48:G50"/>
    <mergeCell ref="G51:G53"/>
    <mergeCell ref="G54:G56"/>
    <mergeCell ref="H48:H50"/>
    <mergeCell ref="I48:I50"/>
    <mergeCell ref="J48:J50"/>
    <mergeCell ref="K48:K50"/>
    <mergeCell ref="H51:H53"/>
    <mergeCell ref="H54:H56"/>
    <mergeCell ref="I51:I53"/>
    <mergeCell ref="J51:J53"/>
    <mergeCell ref="K51:K53"/>
    <mergeCell ref="I54:I56"/>
    <mergeCell ref="J54:J56"/>
    <mergeCell ref="K54:K56"/>
    <mergeCell ref="B48:B56"/>
    <mergeCell ref="C48:C56"/>
    <mergeCell ref="D48:D50"/>
    <mergeCell ref="D51:D53"/>
    <mergeCell ref="D54:D56"/>
    <mergeCell ref="E48:E50"/>
    <mergeCell ref="E51:E53"/>
    <mergeCell ref="E54:E56"/>
    <mergeCell ref="F48:F50"/>
    <mergeCell ref="F51:F53"/>
    <mergeCell ref="F54:F56"/>
    <mergeCell ref="J73:J74"/>
    <mergeCell ref="E73:E74"/>
    <mergeCell ref="F73:F74"/>
    <mergeCell ref="G71:G72"/>
    <mergeCell ref="H71:H72"/>
    <mergeCell ref="G67:G68"/>
    <mergeCell ref="H67:H68"/>
    <mergeCell ref="E59:E60"/>
    <mergeCell ref="F59:F60"/>
    <mergeCell ref="E61:E62"/>
    <mergeCell ref="F61:F62"/>
    <mergeCell ref="E63:E64"/>
    <mergeCell ref="F63:F64"/>
    <mergeCell ref="E65:E66"/>
    <mergeCell ref="F65:F66"/>
    <mergeCell ref="B1:H1"/>
    <mergeCell ref="I1:O1"/>
    <mergeCell ref="I67:I68"/>
    <mergeCell ref="G69:G70"/>
    <mergeCell ref="H69:H70"/>
    <mergeCell ref="I69:I70"/>
    <mergeCell ref="I71:I72"/>
    <mergeCell ref="K71:K72"/>
    <mergeCell ref="J69:J70"/>
    <mergeCell ref="J71:J72"/>
    <mergeCell ref="K59:K60"/>
    <mergeCell ref="J59:J60"/>
    <mergeCell ref="J61:J62"/>
    <mergeCell ref="J63:J64"/>
    <mergeCell ref="J65:J66"/>
    <mergeCell ref="J67:J68"/>
    <mergeCell ref="L3:O3"/>
    <mergeCell ref="K3:K4"/>
    <mergeCell ref="C57:C58"/>
    <mergeCell ref="K61:K62"/>
    <mergeCell ref="K63:K64"/>
    <mergeCell ref="K65:K66"/>
    <mergeCell ref="K67:K68"/>
    <mergeCell ref="K69:K70"/>
    <mergeCell ref="F81:H81"/>
    <mergeCell ref="F83:H83"/>
    <mergeCell ref="F82:H82"/>
    <mergeCell ref="B5:B8"/>
    <mergeCell ref="C5:C8"/>
    <mergeCell ref="E5:E7"/>
    <mergeCell ref="F5:F7"/>
    <mergeCell ref="E71:E72"/>
    <mergeCell ref="F71:F72"/>
    <mergeCell ref="F80:I80"/>
    <mergeCell ref="I59:I60"/>
    <mergeCell ref="G61:G62"/>
    <mergeCell ref="H61:H62"/>
    <mergeCell ref="I61:I62"/>
    <mergeCell ref="G63:G64"/>
    <mergeCell ref="H63:H64"/>
    <mergeCell ref="I63:I64"/>
    <mergeCell ref="I65:I66"/>
    <mergeCell ref="G59:G60"/>
    <mergeCell ref="H59:H60"/>
    <mergeCell ref="G65:G66"/>
    <mergeCell ref="H65:H66"/>
    <mergeCell ref="E69:E70"/>
    <mergeCell ref="F69:F70"/>
    <mergeCell ref="K5:K7"/>
    <mergeCell ref="J21:J26"/>
    <mergeCell ref="K21:K26"/>
    <mergeCell ref="J3:J4"/>
    <mergeCell ref="J5:J7"/>
    <mergeCell ref="K33:K34"/>
    <mergeCell ref="J39:J41"/>
    <mergeCell ref="K39:K41"/>
    <mergeCell ref="J33:J34"/>
    <mergeCell ref="K37:K38"/>
    <mergeCell ref="K35:K36"/>
    <mergeCell ref="K13:K16"/>
    <mergeCell ref="F27:F28"/>
    <mergeCell ref="E27:E28"/>
    <mergeCell ref="G27:G28"/>
    <mergeCell ref="H27:H28"/>
    <mergeCell ref="D71:D72"/>
    <mergeCell ref="B57:B58"/>
    <mergeCell ref="D39:D41"/>
    <mergeCell ref="D27:D28"/>
    <mergeCell ref="D42:D47"/>
    <mergeCell ref="D67:D68"/>
    <mergeCell ref="D69:D70"/>
    <mergeCell ref="D33:D34"/>
    <mergeCell ref="B42:B47"/>
    <mergeCell ref="C42:C47"/>
    <mergeCell ref="C27:C41"/>
    <mergeCell ref="B27:B41"/>
    <mergeCell ref="E67:E68"/>
    <mergeCell ref="F67:F68"/>
    <mergeCell ref="C59:C74"/>
    <mergeCell ref="B59:B74"/>
    <mergeCell ref="D59:D60"/>
    <mergeCell ref="D61:D62"/>
    <mergeCell ref="D63:D64"/>
    <mergeCell ref="D65:D66"/>
    <mergeCell ref="I27:I28"/>
    <mergeCell ref="J27:J28"/>
    <mergeCell ref="K27:K28"/>
    <mergeCell ref="K29:K30"/>
    <mergeCell ref="K31:K32"/>
    <mergeCell ref="B3:C3"/>
    <mergeCell ref="D3:E3"/>
    <mergeCell ref="C21:C26"/>
    <mergeCell ref="D21:D26"/>
    <mergeCell ref="I21:I26"/>
    <mergeCell ref="B21:B26"/>
    <mergeCell ref="F21:F26"/>
    <mergeCell ref="G21:G26"/>
    <mergeCell ref="H21:H26"/>
    <mergeCell ref="E21:E26"/>
    <mergeCell ref="F3:F4"/>
    <mergeCell ref="I3:I4"/>
    <mergeCell ref="G3:G4"/>
    <mergeCell ref="H3:H4"/>
    <mergeCell ref="H5:H7"/>
    <mergeCell ref="I5:I7"/>
    <mergeCell ref="G5:G7"/>
    <mergeCell ref="H31:H32"/>
    <mergeCell ref="D5:D7"/>
    <mergeCell ref="I39:I41"/>
    <mergeCell ref="F31:F32"/>
    <mergeCell ref="G31:G32"/>
    <mergeCell ref="G39:G41"/>
    <mergeCell ref="E39:E41"/>
    <mergeCell ref="F39:F41"/>
    <mergeCell ref="E29:E30"/>
    <mergeCell ref="F29:F30"/>
    <mergeCell ref="G29:G30"/>
    <mergeCell ref="E33:E34"/>
    <mergeCell ref="K9:K12"/>
    <mergeCell ref="H33:H34"/>
    <mergeCell ref="I33:I34"/>
    <mergeCell ref="D37:D38"/>
    <mergeCell ref="E37:E38"/>
    <mergeCell ref="F37:F38"/>
    <mergeCell ref="G37:G38"/>
    <mergeCell ref="H37:H38"/>
    <mergeCell ref="I37:I38"/>
    <mergeCell ref="J37:J38"/>
    <mergeCell ref="D35:D36"/>
    <mergeCell ref="E35:E36"/>
    <mergeCell ref="F35:F36"/>
    <mergeCell ref="G35:G36"/>
    <mergeCell ref="H35:H36"/>
    <mergeCell ref="I35:I36"/>
    <mergeCell ref="J35:J36"/>
    <mergeCell ref="F33:F34"/>
    <mergeCell ref="G33:G34"/>
    <mergeCell ref="I31:I32"/>
    <mergeCell ref="J31:J32"/>
    <mergeCell ref="D29:D30"/>
    <mergeCell ref="D31:D32"/>
    <mergeCell ref="E31:E32"/>
    <mergeCell ref="K17:K20"/>
    <mergeCell ref="D13:D16"/>
    <mergeCell ref="E13:E16"/>
    <mergeCell ref="F13:F16"/>
    <mergeCell ref="G13:G16"/>
    <mergeCell ref="H13:H16"/>
    <mergeCell ref="I13:I16"/>
    <mergeCell ref="J13:J16"/>
    <mergeCell ref="K73:K74"/>
    <mergeCell ref="I73:I74"/>
    <mergeCell ref="H73:H74"/>
    <mergeCell ref="G73:G74"/>
    <mergeCell ref="D73:D74"/>
    <mergeCell ref="F42:F47"/>
    <mergeCell ref="E42:E47"/>
    <mergeCell ref="G42:G47"/>
    <mergeCell ref="H42:H47"/>
    <mergeCell ref="I42:I47"/>
    <mergeCell ref="J42:J47"/>
    <mergeCell ref="K42:K47"/>
    <mergeCell ref="H29:H30"/>
    <mergeCell ref="I29:I30"/>
    <mergeCell ref="J29:J30"/>
    <mergeCell ref="H39:H41"/>
    <mergeCell ref="C9:C20"/>
    <mergeCell ref="B9:B20"/>
    <mergeCell ref="D17:D20"/>
    <mergeCell ref="E17:E20"/>
    <mergeCell ref="F17:F20"/>
    <mergeCell ref="G17:G20"/>
    <mergeCell ref="H17:H20"/>
    <mergeCell ref="I17:I20"/>
    <mergeCell ref="J17:J20"/>
    <mergeCell ref="D9:D12"/>
    <mergeCell ref="E9:E12"/>
    <mergeCell ref="F9:F12"/>
    <mergeCell ref="G9:G12"/>
    <mergeCell ref="H9:H12"/>
    <mergeCell ref="I9:I12"/>
    <mergeCell ref="J9:J12"/>
  </mergeCells>
  <conditionalFormatting sqref="I83">
    <cfRule type="colorScale" priority="11">
      <colorScale>
        <cfvo type="percent" val="0"/>
        <cfvo type="percent" val="0.5"/>
        <cfvo type="percent" val="1"/>
        <color rgb="FFF8696B"/>
        <color rgb="FFFFEB84"/>
        <color rgb="FF63BE7B"/>
      </colorScale>
    </cfRule>
  </conditionalFormatting>
  <conditionalFormatting sqref="H39:H42 H29:H34 H57:H77 H5:H11 H21:H27">
    <cfRule type="cellIs" dxfId="12" priority="10" stopIfTrue="1" operator="greaterThan">
      <formula>0</formula>
    </cfRule>
  </conditionalFormatting>
  <conditionalFormatting sqref="H37:H38">
    <cfRule type="cellIs" dxfId="11" priority="9" stopIfTrue="1" operator="greaterThan">
      <formula>0</formula>
    </cfRule>
  </conditionalFormatting>
  <conditionalFormatting sqref="H35:H36">
    <cfRule type="cellIs" dxfId="10" priority="8" stopIfTrue="1" operator="greaterThan">
      <formula>0</formula>
    </cfRule>
  </conditionalFormatting>
  <conditionalFormatting sqref="H17:H19">
    <cfRule type="cellIs" dxfId="9" priority="5" stopIfTrue="1" operator="greaterThan">
      <formula>0</formula>
    </cfRule>
  </conditionalFormatting>
  <conditionalFormatting sqref="H13:H15">
    <cfRule type="cellIs" dxfId="8" priority="4" stopIfTrue="1" operator="greaterThan">
      <formula>0</formula>
    </cfRule>
  </conditionalFormatting>
  <conditionalFormatting sqref="H48:H50">
    <cfRule type="cellIs" dxfId="7" priority="3" stopIfTrue="1" operator="greaterThan">
      <formula>0</formula>
    </cfRule>
  </conditionalFormatting>
  <conditionalFormatting sqref="H51:H53">
    <cfRule type="cellIs" dxfId="5" priority="2" stopIfTrue="1" operator="greaterThan">
      <formula>0</formula>
    </cfRule>
  </conditionalFormatting>
  <conditionalFormatting sqref="H54:H56">
    <cfRule type="cellIs" dxfId="3" priority="1" stopIfTrue="1" operator="greaterThan">
      <formula>0</formula>
    </cfRule>
  </conditionalFormatting>
  <pageMargins left="0.7" right="0.7" top="0.75" bottom="0.75" header="0.3" footer="0.3"/>
  <pageSetup paperSize="9" orientation="portrait" horizontalDpi="4294967293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CAN Protocol</vt:lpstr>
      <vt:lpstr>IGrebot's CAN</vt:lpstr>
      <vt:lpstr>CAN Messages Table</vt:lpstr>
    </vt:vector>
  </TitlesOfParts>
  <Company>Grizli777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BOISSARD Pierrick</cp:lastModifiedBy>
  <dcterms:created xsi:type="dcterms:W3CDTF">2012-03-19T19:34:20Z</dcterms:created>
  <dcterms:modified xsi:type="dcterms:W3CDTF">2013-04-17T11:57:24Z</dcterms:modified>
</cp:coreProperties>
</file>