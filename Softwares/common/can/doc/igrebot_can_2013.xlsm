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35" windowWidth="23895" windowHeight="9945" firstSheet="1" activeTab="3"/>
  </bookViews>
  <sheets>
    <sheet name="CAN Protocol" sheetId="4" state="hidden" r:id="rId1"/>
    <sheet name="IGrebot's CAN" sheetId="1" r:id="rId2"/>
    <sheet name="CAN Messages Table" sheetId="2" r:id="rId3"/>
    <sheet name="Robot Architecture" sheetId="5" r:id="rId4"/>
  </sheets>
  <definedNames>
    <definedName name="CAN_Bit_stuffing_ratio">'CAN Protocol'!$D$5</definedName>
    <definedName name="CAN_Bus_speed">'CAN Protocol'!$D$6</definedName>
    <definedName name="CAN_Fixed_size">'CAN Protocol'!$D$4</definedName>
    <definedName name="data_types">'IGrebot''s CAN'!$B$44:$B$58</definedName>
    <definedName name="_xlnm.Print_Area" localSheetId="2">'CAN Messages Table'!$B$1:$P$100</definedName>
    <definedName name="_xlnm.Print_Area" localSheetId="1">'IGrebot''s CAN'!$B$1:$N$60</definedName>
    <definedName name="_xlnm.Print_Area" localSheetId="3">'Robot Architecture'!$B$1:$N$36</definedName>
    <definedName name="_xlnm.Print_Titles" localSheetId="2">'CAN Messages Table'!$3:$4</definedName>
  </definedNames>
  <calcPr calcId="124519" iterateDelta="1E-4"/>
</workbook>
</file>

<file path=xl/calcChain.xml><?xml version="1.0" encoding="utf-8"?>
<calcChain xmlns="http://schemas.openxmlformats.org/spreadsheetml/2006/main">
  <c r="F98" i="1"/>
  <c r="F99" i="2"/>
  <c r="I98" i="1"/>
  <c r="I99" i="2"/>
  <c r="J99" s="1"/>
  <c r="K99" s="1"/>
  <c r="I73" i="1"/>
  <c r="I74" i="2"/>
  <c r="J74" s="1"/>
  <c r="K74" s="1"/>
  <c r="F74"/>
  <c r="I76"/>
  <c r="I11"/>
  <c r="J11"/>
  <c r="K11" s="1"/>
  <c r="M12"/>
  <c r="J76"/>
  <c r="K76" s="1"/>
  <c r="F76"/>
  <c r="F15"/>
  <c r="I26"/>
  <c r="I24"/>
  <c r="J24" s="1"/>
  <c r="K24" s="1"/>
  <c r="I21"/>
  <c r="J21" s="1"/>
  <c r="K21" s="1"/>
  <c r="I19"/>
  <c r="J19" s="1"/>
  <c r="K19" s="1"/>
  <c r="I16"/>
  <c r="I15"/>
  <c r="J15" s="1"/>
  <c r="K15" s="1"/>
  <c r="I13"/>
  <c r="J13" s="1"/>
  <c r="K13" s="1"/>
  <c r="F13"/>
  <c r="F24"/>
  <c r="F21"/>
  <c r="F19"/>
  <c r="F81"/>
  <c r="F80"/>
  <c r="F71"/>
  <c r="F72"/>
  <c r="F73"/>
  <c r="F70"/>
  <c r="F10"/>
  <c r="I10"/>
  <c r="J10" s="1"/>
  <c r="K10" s="1"/>
  <c r="F68"/>
  <c r="F69"/>
  <c r="F67"/>
  <c r="F63"/>
  <c r="F65"/>
  <c r="F61"/>
  <c r="F9"/>
  <c r="F11"/>
  <c r="F5"/>
  <c r="I73"/>
  <c r="J73" s="1"/>
  <c r="K73" s="1"/>
  <c r="I72"/>
  <c r="J72" s="1"/>
  <c r="K72" s="1"/>
  <c r="I71"/>
  <c r="J71" s="1"/>
  <c r="K71" s="1"/>
  <c r="I70"/>
  <c r="J70" s="1"/>
  <c r="K70" s="1"/>
  <c r="I69"/>
  <c r="J69" s="1"/>
  <c r="K69" s="1"/>
  <c r="I68"/>
  <c r="J68" s="1"/>
  <c r="K68" s="1"/>
  <c r="I67"/>
  <c r="J67" s="1"/>
  <c r="K67" s="1"/>
  <c r="I65"/>
  <c r="J65" s="1"/>
  <c r="K65" s="1"/>
  <c r="I63"/>
  <c r="J63" s="1"/>
  <c r="K63" s="1"/>
  <c r="I61"/>
  <c r="J61" s="1"/>
  <c r="K61" s="1"/>
  <c r="F26"/>
  <c r="J26"/>
  <c r="K26" s="1"/>
  <c r="F16"/>
  <c r="I53"/>
  <c r="F53"/>
  <c r="I55"/>
  <c r="I51"/>
  <c r="F51"/>
  <c r="F55"/>
  <c r="F57"/>
  <c r="F58"/>
  <c r="F59"/>
  <c r="I43"/>
  <c r="I35"/>
  <c r="J35" s="1"/>
  <c r="K35" s="1"/>
  <c r="I32"/>
  <c r="J32" s="1"/>
  <c r="K32" s="1"/>
  <c r="I29"/>
  <c r="I46"/>
  <c r="I59"/>
  <c r="J59" s="1"/>
  <c r="K59" s="1"/>
  <c r="I60"/>
  <c r="J60" s="1"/>
  <c r="K60" s="1"/>
  <c r="F60"/>
  <c r="I57"/>
  <c r="J57" s="1"/>
  <c r="K57" s="1"/>
  <c r="I58"/>
  <c r="I87"/>
  <c r="J87" s="1"/>
  <c r="K87" s="1"/>
  <c r="I85"/>
  <c r="J85" s="1"/>
  <c r="K85" s="1"/>
  <c r="I83"/>
  <c r="J83" s="1"/>
  <c r="K83" s="1"/>
  <c r="I81"/>
  <c r="I80"/>
  <c r="J80" s="1"/>
  <c r="K80" s="1"/>
  <c r="I39"/>
  <c r="J39" s="1"/>
  <c r="K39" s="1"/>
  <c r="I37"/>
  <c r="I9"/>
  <c r="J9" s="1"/>
  <c r="K9" s="1"/>
  <c r="I5"/>
  <c r="F46"/>
  <c r="F29"/>
  <c r="F37"/>
  <c r="F35"/>
  <c r="F32"/>
  <c r="F43"/>
  <c r="F39"/>
  <c r="D5" i="4"/>
  <c r="D4"/>
  <c r="I89" i="2"/>
  <c r="J89" s="1"/>
  <c r="K89" s="1"/>
  <c r="I91"/>
  <c r="J91" s="1"/>
  <c r="K91" s="1"/>
  <c r="I93"/>
  <c r="J93" s="1"/>
  <c r="K93" s="1"/>
  <c r="I95"/>
  <c r="J95" s="1"/>
  <c r="K95" s="1"/>
  <c r="I97"/>
  <c r="J97" s="1"/>
  <c r="K97" s="1"/>
  <c r="F85"/>
  <c r="F87"/>
  <c r="F89"/>
  <c r="F91"/>
  <c r="F93"/>
  <c r="F95"/>
  <c r="F97"/>
  <c r="F83"/>
  <c r="I105" l="1"/>
  <c r="J51"/>
  <c r="K51" s="1"/>
  <c r="J5"/>
  <c r="J37"/>
  <c r="K37" s="1"/>
  <c r="J81"/>
  <c r="K81" s="1"/>
  <c r="J58"/>
  <c r="K58" s="1"/>
  <c r="J29"/>
  <c r="K29" s="1"/>
  <c r="J55"/>
  <c r="K55" s="1"/>
  <c r="J53"/>
  <c r="K53" s="1"/>
  <c r="J16"/>
  <c r="K16" s="1"/>
  <c r="J46"/>
  <c r="K46" s="1"/>
  <c r="J43"/>
  <c r="K43" s="1"/>
  <c r="I106" l="1"/>
  <c r="I107" s="1"/>
  <c r="K5"/>
</calcChain>
</file>

<file path=xl/comments1.xml><?xml version="1.0" encoding="utf-8"?>
<comments xmlns="http://schemas.openxmlformats.org/spreadsheetml/2006/main">
  <authors>
    <author>Paul</author>
  </authors>
  <commentList>
    <comment ref="H3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'0' if message is intended to be punctal (event).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Useful data length (DLC in CAN protocol)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Worst-case size in the event of bit-stuffing.
Doesn't take into account errors and bus congestion.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Impact of the frame on the overall bus load.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See dataypes in Igrebot's CAN Sheet</t>
        </r>
      </text>
    </comment>
  </commentList>
</comments>
</file>

<file path=xl/sharedStrings.xml><?xml version="1.0" encoding="utf-8"?>
<sst xmlns="http://schemas.openxmlformats.org/spreadsheetml/2006/main" count="570" uniqueCount="321">
  <si>
    <t>Category</t>
  </si>
  <si>
    <t>high</t>
  </si>
  <si>
    <t>default</t>
  </si>
  <si>
    <t>low</t>
  </si>
  <si>
    <t>diag</t>
  </si>
  <si>
    <t>Used for diagnosis and debug messages</t>
  </si>
  <si>
    <t>Default priority</t>
  </si>
  <si>
    <t>Highest priority</t>
  </si>
  <si>
    <t>Low priority</t>
  </si>
  <si>
    <t>ID[10:9]</t>
  </si>
  <si>
    <t>Mnemonic</t>
  </si>
  <si>
    <t>Description</t>
  </si>
  <si>
    <t>ID[8:5]</t>
  </si>
  <si>
    <t>Categories (16 values)</t>
  </si>
  <si>
    <t>Lower SID = Higher Priority</t>
  </si>
  <si>
    <t>Messages which purely have a debug purpose</t>
  </si>
  <si>
    <t>High-level messages, related to strategy and system managment</t>
  </si>
  <si>
    <t>Bootloading messages, dedicated for self-writing over CAN purposes</t>
  </si>
  <si>
    <t>Specific messages related to the beacon(s) managment</t>
  </si>
  <si>
    <t>unused</t>
  </si>
  <si>
    <t>Actuators related messages (except motion managment)</t>
  </si>
  <si>
    <t>Messages related to the robot avoidance system (except beacons)</t>
  </si>
  <si>
    <t>Critical messages linked with power supply and batteries managment</t>
  </si>
  <si>
    <t>Robot motion messages</t>
  </si>
  <si>
    <t>Priorities (4 values)</t>
  </si>
  <si>
    <t>Message ID (32 per category)</t>
  </si>
  <si>
    <t>ID [4:0]</t>
  </si>
  <si>
    <t>They are all specific to the category.</t>
  </si>
  <si>
    <t>debug</t>
  </si>
  <si>
    <t>boot</t>
  </si>
  <si>
    <t>system</t>
  </si>
  <si>
    <t>actuators</t>
  </si>
  <si>
    <t>motion</t>
  </si>
  <si>
    <t>beacon</t>
  </si>
  <si>
    <t>avoidance</t>
  </si>
  <si>
    <t>supply</t>
  </si>
  <si>
    <t>Id</t>
  </si>
  <si>
    <t>CAN Id</t>
  </si>
  <si>
    <t>Message</t>
  </si>
  <si>
    <t>Length</t>
  </si>
  <si>
    <t>Payload content</t>
  </si>
  <si>
    <t>Bitfield</t>
  </si>
  <si>
    <t>Byte no.</t>
  </si>
  <si>
    <t>RTR
allowed</t>
  </si>
  <si>
    <t>no</t>
  </si>
  <si>
    <t>Length
(bytes)</t>
  </si>
  <si>
    <t>Priority</t>
  </si>
  <si>
    <t>CAN Message</t>
  </si>
  <si>
    <t>node_0</t>
  </si>
  <si>
    <t>node_1</t>
  </si>
  <si>
    <t>node_2</t>
  </si>
  <si>
    <t>node_3</t>
  </si>
  <si>
    <t>node_4</t>
  </si>
  <si>
    <t>node_5</t>
  </si>
  <si>
    <t>node_6</t>
  </si>
  <si>
    <t>node_7</t>
  </si>
  <si>
    <t>boot_cmd</t>
  </si>
  <si>
    <t>boot_data</t>
  </si>
  <si>
    <t>Bootload command for node 0</t>
  </si>
  <si>
    <t>Bootload data for node 0</t>
  </si>
  <si>
    <t>Bootload command for node 1</t>
  </si>
  <si>
    <t>Bootload data for node 1</t>
  </si>
  <si>
    <t>Bootload command for node 2</t>
  </si>
  <si>
    <t>Bootload data for node 2</t>
  </si>
  <si>
    <t>Bootload command for node 3</t>
  </si>
  <si>
    <t>Bootload data for node 3</t>
  </si>
  <si>
    <t>Bootload command for node 4</t>
  </si>
  <si>
    <t>Bootload data for node 4</t>
  </si>
  <si>
    <t>Bootload command for node 5</t>
  </si>
  <si>
    <t>Bootload data for node 5</t>
  </si>
  <si>
    <t>Bootload command for node 6</t>
  </si>
  <si>
    <t>Bootload data for node 6</t>
  </si>
  <si>
    <t>Bootload command for node 7</t>
  </si>
  <si>
    <t>Bootload data for node 7</t>
  </si>
  <si>
    <t>timestamp</t>
  </si>
  <si>
    <t>Fixed size =</t>
  </si>
  <si>
    <t>Standard CAN</t>
  </si>
  <si>
    <t>bits</t>
  </si>
  <si>
    <t>Bit-stuffing ratio =</t>
  </si>
  <si>
    <t>when using NRZ-5</t>
  </si>
  <si>
    <t>Bus speed =</t>
  </si>
  <si>
    <t>kbit/s</t>
  </si>
  <si>
    <t>Frame size
(bits)</t>
  </si>
  <si>
    <t>Bus load =</t>
  </si>
  <si>
    <t>yes</t>
  </si>
  <si>
    <t>command</t>
  </si>
  <si>
    <t>shutdown</t>
  </si>
  <si>
    <t>Command a power supply to be shutdown</t>
  </si>
  <si>
    <t>Reccurence
(msg/s)</t>
  </si>
  <si>
    <t>emergency_stop</t>
  </si>
  <si>
    <t>Indicates that emergency button is pushed down</t>
  </si>
  <si>
    <t>Bus Statistics</t>
  </si>
  <si>
    <t>END OF TABLE</t>
  </si>
  <si>
    <t>status</t>
  </si>
  <si>
    <t>pos_x</t>
  </si>
  <si>
    <t>pos_a</t>
  </si>
  <si>
    <t>accel_max_d</t>
  </si>
  <si>
    <t>speed_pos_max_d</t>
  </si>
  <si>
    <t>speed_neg_max_d</t>
  </si>
  <si>
    <t>Maximum allowed linear positive speed</t>
  </si>
  <si>
    <t>Maximum allowed linear negative speed</t>
  </si>
  <si>
    <t>Maximum allowed angular positive speed</t>
  </si>
  <si>
    <t>Maximum allowed angular negative speed</t>
  </si>
  <si>
    <t>speed_pos_max_a</t>
  </si>
  <si>
    <t>speed_neg_max_a</t>
  </si>
  <si>
    <t>deccel_max_d</t>
  </si>
  <si>
    <t>Maximum allowed linear acceleration</t>
  </si>
  <si>
    <t>Maximum allowed linear decceleration</t>
  </si>
  <si>
    <t>deccel_max_a</t>
  </si>
  <si>
    <t>Maximum allowed angular decceleration</t>
  </si>
  <si>
    <t>Frame's
bus-load</t>
  </si>
  <si>
    <t>Global match timestamp. Unit: 100ms. 0 if not started</t>
  </si>
  <si>
    <t>Current Absolute X-axis position</t>
  </si>
  <si>
    <t>Current Absolute Y-axis position</t>
  </si>
  <si>
    <t>Current Absolute angle position</t>
  </si>
  <si>
    <t>speed_d</t>
  </si>
  <si>
    <t>speed_a</t>
  </si>
  <si>
    <t>Current linear speed</t>
  </si>
  <si>
    <t>Current angular speed</t>
  </si>
  <si>
    <t>accel_d</t>
  </si>
  <si>
    <t>accel_a</t>
  </si>
  <si>
    <t>Current linear acceleration</t>
  </si>
  <si>
    <t>Current angular acceleration</t>
  </si>
  <si>
    <t xml:space="preserve">Useful data (bytes/s) = </t>
  </si>
  <si>
    <t>Bus load (bytes/s) =</t>
  </si>
  <si>
    <t>fault</t>
  </si>
  <si>
    <t>Indicates any critical fault</t>
  </si>
  <si>
    <t>battery_voltage</t>
  </si>
  <si>
    <t>Main batteries voltage</t>
  </si>
  <si>
    <t>fuses_state</t>
  </si>
  <si>
    <t>Fuses state for each power-supply</t>
  </si>
  <si>
    <t>pos_y</t>
  </si>
  <si>
    <t>lock</t>
  </si>
  <si>
    <t>Lock feedback</t>
  </si>
  <si>
    <t>Motion lock configuration</t>
  </si>
  <si>
    <t>pos_reset_x</t>
  </si>
  <si>
    <t>Reset X position to specified value</t>
  </si>
  <si>
    <t>pos_reset_y</t>
  </si>
  <si>
    <t>Reset Y position to specified value</t>
  </si>
  <si>
    <t>bist_launch</t>
  </si>
  <si>
    <t>bist_status</t>
  </si>
  <si>
    <t>node</t>
  </si>
  <si>
    <t>Launch Build-In-Self-Test on specified node(s)</t>
  </si>
  <si>
    <t>Node's id</t>
  </si>
  <si>
    <t>Bist status feedback for specified id</t>
  </si>
  <si>
    <t>CAN Messages Table</t>
  </si>
  <si>
    <t>move_forward</t>
  </si>
  <si>
    <t>pos_fwd_d</t>
  </si>
  <si>
    <t>move_backward</t>
  </si>
  <si>
    <t>turn_right</t>
  </si>
  <si>
    <t>turn_left</t>
  </si>
  <si>
    <t>pos_bwd_d</t>
  </si>
  <si>
    <t>pos_r_a</t>
  </si>
  <si>
    <t>pos_l_a</t>
  </si>
  <si>
    <t>move_relative</t>
  </si>
  <si>
    <t>pos_rel_a</t>
  </si>
  <si>
    <t>pos_rel_d</t>
  </si>
  <si>
    <t>trajectory_stop</t>
  </si>
  <si>
    <t>trajectory_near</t>
  </si>
  <si>
    <t>trajectory_finished</t>
  </si>
  <si>
    <t>fb_position</t>
  </si>
  <si>
    <t>fb_speed</t>
  </si>
  <si>
    <t>fb_acceleration</t>
  </si>
  <si>
    <t>param_speed</t>
  </si>
  <si>
    <t>param_accel</t>
  </si>
  <si>
    <t>fb_status</t>
  </si>
  <si>
    <t>goto</t>
  </si>
  <si>
    <t>Absolute X coordinate to go</t>
  </si>
  <si>
    <t>Absolute Y coordinate to go</t>
  </si>
  <si>
    <t>Command to stop the current trajectory</t>
  </si>
  <si>
    <t>Distance consign</t>
  </si>
  <si>
    <t>Angular consign</t>
  </si>
  <si>
    <t>Flag when trajectory in end windows</t>
  </si>
  <si>
    <t>Flag when trajectory ends</t>
  </si>
  <si>
    <t>Set linear speed</t>
  </si>
  <si>
    <t>Set angular speed</t>
  </si>
  <si>
    <t>set_speed</t>
  </si>
  <si>
    <t>stall</t>
  </si>
  <si>
    <t>Edges-stall (1:right, 2:left, 4:front: 8:back)</t>
  </si>
  <si>
    <t>Opponent's 1st robot X-axis position</t>
  </si>
  <si>
    <t>Opponent's 1st robot Y-axis position</t>
  </si>
  <si>
    <t>Opponent's 1st robot angle relative to the robot's front</t>
  </si>
  <si>
    <t>Opponent's 2nd robot X-axis position</t>
  </si>
  <si>
    <t>Opponent's 2nd robot Y-axis position</t>
  </si>
  <si>
    <t>Opponent's 2nd robot angle relative to the robot's front</t>
  </si>
  <si>
    <t>Absolute X-axis position from beacon computation</t>
  </si>
  <si>
    <t>Absolute Y-axis position from beacon computation</t>
  </si>
  <si>
    <t>Absolute Angular position from beacon computation</t>
  </si>
  <si>
    <t>position</t>
  </si>
  <si>
    <t>speed</t>
  </si>
  <si>
    <t>lift</t>
  </si>
  <si>
    <t>grab</t>
  </si>
  <si>
    <t>Position of the lift actuator</t>
  </si>
  <si>
    <t>Position of the grabbing actuator</t>
  </si>
  <si>
    <t>sensors</t>
  </si>
  <si>
    <t>Sensors message (uncorellated with direct actuator motion)</t>
  </si>
  <si>
    <t>Launcher regulated speed command (0 = off)</t>
  </si>
  <si>
    <t>color</t>
  </si>
  <si>
    <t>IGrebot 2013</t>
  </si>
  <si>
    <t>Blower left</t>
  </si>
  <si>
    <t>Blower right</t>
  </si>
  <si>
    <t>Color left</t>
  </si>
  <si>
    <t>Color right</t>
  </si>
  <si>
    <t>Loader</t>
  </si>
  <si>
    <t>Blue</t>
  </si>
  <si>
    <t>Red</t>
  </si>
  <si>
    <t>White</t>
  </si>
  <si>
    <t>Other</t>
  </si>
  <si>
    <t>Folded</t>
  </si>
  <si>
    <t>Up</t>
  </si>
  <si>
    <t>Down</t>
  </si>
  <si>
    <t>Lift</t>
  </si>
  <si>
    <t>Grab</t>
  </si>
  <si>
    <t>: state</t>
  </si>
  <si>
    <t>: cmd</t>
  </si>
  <si>
    <t>: sensor</t>
  </si>
  <si>
    <t>: actuator</t>
  </si>
  <si>
    <t>Plate sensor</t>
  </si>
  <si>
    <t>Plate</t>
  </si>
  <si>
    <t>No plate</t>
  </si>
  <si>
    <t>Launcher</t>
  </si>
  <si>
    <t>Off</t>
  </si>
  <si>
    <t>On</t>
  </si>
  <si>
    <t>Deflector</t>
  </si>
  <si>
    <t>Not white</t>
  </si>
  <si>
    <t>Pump</t>
  </si>
  <si>
    <t>Osiris Back Right</t>
  </si>
  <si>
    <t>Osiris Back Left</t>
  </si>
  <si>
    <t>Cherry color</t>
  </si>
  <si>
    <t>Osiris Front Right</t>
  </si>
  <si>
    <t>Osiris Front Left</t>
  </si>
  <si>
    <t>blower_left</t>
  </si>
  <si>
    <t>Desired blower position</t>
  </si>
  <si>
    <t>Optionnal speed of blowing</t>
  </si>
  <si>
    <t>blower_right</t>
  </si>
  <si>
    <t>loader</t>
  </si>
  <si>
    <t>launcher</t>
  </si>
  <si>
    <t>deflector</t>
  </si>
  <si>
    <t>deflect</t>
  </si>
  <si>
    <t>Launcher deflector activation</t>
  </si>
  <si>
    <t>pump</t>
  </si>
  <si>
    <t>Funny action activation</t>
  </si>
  <si>
    <t>left_color</t>
  </si>
  <si>
    <t>Sensed color of left RGB color sensor</t>
  </si>
  <si>
    <t>right_color</t>
  </si>
  <si>
    <t>Sensed color of right RGB color sensor</t>
  </si>
  <si>
    <t>cherry_color</t>
  </si>
  <si>
    <t>Sensed color of cherry RGB color sensor</t>
  </si>
  <si>
    <t>plate</t>
  </si>
  <si>
    <t>presence</t>
  </si>
  <si>
    <t>Presence of a plate</t>
  </si>
  <si>
    <t>detection</t>
  </si>
  <si>
    <t>Each bit indicates a detected object by osiris sensor (#0 to #7)</t>
  </si>
  <si>
    <t>osiris</t>
  </si>
  <si>
    <t>ultrasonic</t>
  </si>
  <si>
    <t>opponent_1_abs</t>
  </si>
  <si>
    <t>opponent_1_rel</t>
  </si>
  <si>
    <t>Opponent's 1st robot absolute angular position</t>
  </si>
  <si>
    <t>pos_d</t>
  </si>
  <si>
    <t>Opponent's 1st robot distance relative to the robot's front</t>
  </si>
  <si>
    <t>opponent_2_abs</t>
  </si>
  <si>
    <t>opponent_2_rel</t>
  </si>
  <si>
    <t>Opponent's 2nd robot absolute angular position</t>
  </si>
  <si>
    <t>Opponent's 2nd robot distance relative to the robot's front</t>
  </si>
  <si>
    <t>robot_abs</t>
  </si>
  <si>
    <t>errors</t>
  </si>
  <si>
    <t>Each bit corresponds to an error flag</t>
  </si>
  <si>
    <t>turret</t>
  </si>
  <si>
    <t>Controls the turret activations (rotation, lasers, …)</t>
  </si>
  <si>
    <t>Corresponds to the current turret speed</t>
  </si>
  <si>
    <t>Robot Architecture</t>
  </si>
  <si>
    <t>CAN Message IDs</t>
  </si>
  <si>
    <t>match</t>
  </si>
  <si>
    <t>state</t>
  </si>
  <si>
    <t>Match state global variable</t>
  </si>
  <si>
    <t>points</t>
  </si>
  <si>
    <t>Current count of points (or estimation)</t>
  </si>
  <si>
    <t>Type</t>
  </si>
  <si>
    <t>Payload possible data types</t>
  </si>
  <si>
    <t>Data type</t>
  </si>
  <si>
    <t>bool</t>
  </si>
  <si>
    <t>Boolean (True or False) stored as a byte</t>
  </si>
  <si>
    <t>int8</t>
  </si>
  <si>
    <t>Byte (-128 to 127)</t>
  </si>
  <si>
    <t>int16</t>
  </si>
  <si>
    <t>Integer (-32768 to 32767)</t>
  </si>
  <si>
    <t>int32</t>
  </si>
  <si>
    <t>Integer (-2147483648 to 2147483647)</t>
  </si>
  <si>
    <t>int64</t>
  </si>
  <si>
    <t>Integer (9223372036854775808 to 9223372036854775807)</t>
  </si>
  <si>
    <t>uint8</t>
  </si>
  <si>
    <t>uint16</t>
  </si>
  <si>
    <t>uint32</t>
  </si>
  <si>
    <t>Unsigned integer (0 to 4294967295)</t>
  </si>
  <si>
    <t>uint64</t>
  </si>
  <si>
    <t>Unsigned integer (0 to 18446744073709551615)</t>
  </si>
  <si>
    <t>float16</t>
  </si>
  <si>
    <t>Half precision float: sign bit, 5 bits exponent, 10 bits mantissa</t>
  </si>
  <si>
    <t>float32</t>
  </si>
  <si>
    <t>Single precision float: sign bit, 8 bits exponent, 23 bits mantissa</t>
  </si>
  <si>
    <t>float64</t>
  </si>
  <si>
    <t>Double precision float: sign bit, 11 bits exponent, 52 bits mantissa</t>
  </si>
  <si>
    <t>complex64</t>
  </si>
  <si>
    <t>Complex number, represented by two 32-bit floats (real and imaginary components)</t>
  </si>
  <si>
    <t>complex128</t>
  </si>
  <si>
    <t>Complex number, represented by two 64-bit floats (real and imaginary components)</t>
  </si>
  <si>
    <t>Note: data type names are given according to Python Numpy package denomination</t>
  </si>
  <si>
    <t>dist_0</t>
  </si>
  <si>
    <t>Distance measured by US sensor #0</t>
  </si>
  <si>
    <t>dist_1</t>
  </si>
  <si>
    <t>Distance measured by US sensor #1</t>
  </si>
  <si>
    <t>Unsigned integer (0 to 255) : also used for flags and states</t>
  </si>
  <si>
    <t>Unsigned integer (0 to 65535) : also used for flags and states if than 8 is needed</t>
  </si>
  <si>
    <t>array</t>
  </si>
  <si>
    <t>Color picked for the match</t>
  </si>
  <si>
    <t>Type used when the data contained in payload shouldn't be interpreted</t>
  </si>
  <si>
    <t>General feedback status ; by sending this the node indicates that it's alive</t>
  </si>
  <si>
    <t>printf</t>
  </si>
  <si>
    <t>data</t>
  </si>
  <si>
    <t>String data: always 7 bytes (pad with 0 if string is finished)</t>
  </si>
  <si>
    <t>Emitter node id</t>
  </si>
</sst>
</file>

<file path=xl/styles.xml><?xml version="1.0" encoding="utf-8"?>
<styleSheet xmlns="http://schemas.openxmlformats.org/spreadsheetml/2006/main">
  <fonts count="29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b/>
      <u/>
      <sz val="11"/>
      <color indexed="8"/>
      <name val="Calibri"/>
      <family val="2"/>
    </font>
    <font>
      <b/>
      <sz val="9"/>
      <color indexed="9"/>
      <name val="Calibri"/>
      <family val="2"/>
    </font>
    <font>
      <sz val="9"/>
      <color indexed="8"/>
      <name val="Calibri"/>
      <family val="2"/>
    </font>
    <font>
      <b/>
      <sz val="11"/>
      <color indexed="10"/>
      <name val="Calibri"/>
      <family val="2"/>
    </font>
    <font>
      <sz val="10"/>
      <color indexed="8"/>
      <name val="Calibri"/>
      <family val="2"/>
    </font>
    <font>
      <sz val="11"/>
      <name val="Calibri"/>
      <family val="2"/>
    </font>
    <font>
      <b/>
      <sz val="20"/>
      <color indexed="53"/>
      <name val="Calibri"/>
      <family val="2"/>
    </font>
    <font>
      <b/>
      <sz val="14"/>
      <color indexed="12"/>
      <name val="Calibri"/>
      <family val="2"/>
    </font>
    <font>
      <b/>
      <sz val="11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1"/>
      <color theme="4" tint="-0.249977111117893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9"/>
        <bgColor indexed="40"/>
      </patternFill>
    </fill>
    <fill>
      <patternFill patternType="solid">
        <fgColor indexed="50"/>
        <bgColor indexed="5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26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2E0E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7" fillId="0" borderId="0"/>
  </cellStyleXfs>
  <cellXfs count="286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/>
    <xf numFmtId="0" fontId="0" fillId="0" borderId="0" xfId="0" applyBorder="1"/>
    <xf numFmtId="0" fontId="4" fillId="0" borderId="0" xfId="0" applyFont="1" applyAlignment="1">
      <alignment horizontal="center"/>
    </xf>
    <xf numFmtId="0" fontId="0" fillId="0" borderId="0" xfId="0" applyFill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/>
    </xf>
    <xf numFmtId="10" fontId="4" fillId="0" borderId="3" xfId="0" applyNumberFormat="1" applyFont="1" applyBorder="1" applyAlignment="1">
      <alignment horizontal="left"/>
    </xf>
    <xf numFmtId="0" fontId="8" fillId="0" borderId="0" xfId="0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1" applyAlignment="1">
      <alignment horizontal="center"/>
    </xf>
    <xf numFmtId="0" fontId="17" fillId="0" borderId="0" xfId="1" applyFill="1" applyBorder="1" applyAlignment="1">
      <alignment horizontal="center"/>
    </xf>
    <xf numFmtId="0" fontId="17" fillId="0" borderId="0" xfId="1" applyAlignment="1">
      <alignment horizontal="left"/>
    </xf>
    <xf numFmtId="0" fontId="17" fillId="9" borderId="0" xfId="1" applyFill="1" applyBorder="1" applyAlignment="1">
      <alignment horizontal="center"/>
    </xf>
    <xf numFmtId="0" fontId="17" fillId="8" borderId="15" xfId="1" applyFill="1" applyBorder="1" applyAlignment="1">
      <alignment horizontal="center"/>
    </xf>
    <xf numFmtId="0" fontId="17" fillId="10" borderId="15" xfId="1" applyFill="1" applyBorder="1" applyAlignment="1">
      <alignment horizontal="center"/>
    </xf>
    <xf numFmtId="0" fontId="17" fillId="11" borderId="16" xfId="1" applyFont="1" applyFill="1" applyBorder="1" applyAlignment="1">
      <alignment horizontal="center"/>
    </xf>
    <xf numFmtId="0" fontId="11" fillId="12" borderId="16" xfId="1" applyFont="1" applyFill="1" applyBorder="1" applyAlignment="1">
      <alignment horizontal="center"/>
    </xf>
    <xf numFmtId="0" fontId="17" fillId="11" borderId="17" xfId="1" applyFont="1" applyFill="1" applyBorder="1" applyAlignment="1">
      <alignment horizontal="center"/>
    </xf>
    <xf numFmtId="0" fontId="17" fillId="11" borderId="15" xfId="1" applyFill="1" applyBorder="1" applyAlignment="1">
      <alignment horizontal="center"/>
    </xf>
    <xf numFmtId="0" fontId="17" fillId="12" borderId="16" xfId="1" applyFont="1" applyFill="1" applyBorder="1" applyAlignment="1">
      <alignment horizontal="center"/>
    </xf>
    <xf numFmtId="0" fontId="17" fillId="12" borderId="18" xfId="1" applyFont="1" applyFill="1" applyBorder="1" applyAlignment="1">
      <alignment horizontal="center"/>
    </xf>
    <xf numFmtId="0" fontId="17" fillId="12" borderId="17" xfId="1" applyFont="1" applyFill="1" applyBorder="1" applyAlignment="1">
      <alignment horizontal="center"/>
    </xf>
    <xf numFmtId="0" fontId="17" fillId="0" borderId="0" xfId="1"/>
    <xf numFmtId="0" fontId="0" fillId="0" borderId="0" xfId="0" applyFont="1"/>
    <xf numFmtId="0" fontId="23" fillId="0" borderId="0" xfId="1" applyFont="1"/>
    <xf numFmtId="0" fontId="23" fillId="0" borderId="0" xfId="0" applyFont="1"/>
    <xf numFmtId="0" fontId="3" fillId="2" borderId="21" xfId="0" applyFont="1" applyFill="1" applyBorder="1"/>
    <xf numFmtId="0" fontId="3" fillId="2" borderId="21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0" fontId="3" fillId="2" borderId="21" xfId="0" applyFont="1" applyFill="1" applyBorder="1" applyAlignment="1"/>
    <xf numFmtId="0" fontId="21" fillId="0" borderId="22" xfId="0" applyFont="1" applyFill="1" applyBorder="1" applyAlignment="1">
      <alignment horizontal="center" vertical="center"/>
    </xf>
    <xf numFmtId="0" fontId="0" fillId="0" borderId="22" xfId="0" applyFont="1" applyFill="1" applyBorder="1"/>
    <xf numFmtId="0" fontId="0" fillId="0" borderId="22" xfId="0" applyFont="1" applyFill="1" applyBorder="1" applyAlignment="1">
      <alignment horizontal="center"/>
    </xf>
    <xf numFmtId="0" fontId="22" fillId="0" borderId="22" xfId="0" applyFont="1" applyFill="1" applyBorder="1" applyAlignment="1"/>
    <xf numFmtId="0" fontId="0" fillId="0" borderId="23" xfId="0" applyFont="1" applyFill="1" applyBorder="1"/>
    <xf numFmtId="0" fontId="0" fillId="0" borderId="23" xfId="0" applyFont="1" applyFill="1" applyBorder="1" applyAlignment="1">
      <alignment horizontal="center"/>
    </xf>
    <xf numFmtId="0" fontId="22" fillId="0" borderId="23" xfId="0" applyFont="1" applyFill="1" applyBorder="1" applyAlignment="1"/>
    <xf numFmtId="0" fontId="19" fillId="0" borderId="23" xfId="0" applyFont="1" applyFill="1" applyBorder="1" applyAlignment="1">
      <alignment horizontal="center"/>
    </xf>
    <xf numFmtId="0" fontId="21" fillId="0" borderId="23" xfId="0" applyFont="1" applyFill="1" applyBorder="1" applyAlignment="1">
      <alignment horizontal="center" vertical="center"/>
    </xf>
    <xf numFmtId="10" fontId="21" fillId="0" borderId="23" xfId="0" applyNumberFormat="1" applyFont="1" applyFill="1" applyBorder="1" applyAlignment="1">
      <alignment horizontal="center" vertical="center" wrapText="1"/>
    </xf>
    <xf numFmtId="0" fontId="0" fillId="0" borderId="23" xfId="0" applyFont="1" applyFill="1" applyBorder="1" applyAlignment="1">
      <alignment horizontal="center" vertical="center"/>
    </xf>
    <xf numFmtId="0" fontId="19" fillId="0" borderId="23" xfId="1" applyFont="1" applyFill="1" applyBorder="1" applyAlignment="1">
      <alignment horizontal="center" vertical="center"/>
    </xf>
    <xf numFmtId="0" fontId="23" fillId="0" borderId="23" xfId="1" applyFont="1" applyFill="1" applyBorder="1" applyAlignment="1">
      <alignment horizontal="center" vertical="center"/>
    </xf>
    <xf numFmtId="0" fontId="20" fillId="0" borderId="23" xfId="1" applyFont="1" applyFill="1" applyBorder="1" applyAlignment="1">
      <alignment horizontal="center" vertical="center"/>
    </xf>
    <xf numFmtId="0" fontId="0" fillId="0" borderId="23" xfId="0" applyFill="1" applyBorder="1"/>
    <xf numFmtId="0" fontId="0" fillId="0" borderId="23" xfId="0" applyFont="1" applyFill="1" applyBorder="1" applyAlignment="1">
      <alignment vertical="center"/>
    </xf>
    <xf numFmtId="0" fontId="19" fillId="0" borderId="23" xfId="0" applyFont="1" applyFill="1" applyBorder="1" applyAlignment="1">
      <alignment horizontal="center" vertical="center"/>
    </xf>
    <xf numFmtId="0" fontId="20" fillId="0" borderId="23" xfId="0" applyFont="1" applyFill="1" applyBorder="1" applyAlignment="1">
      <alignment horizontal="center" vertical="center"/>
    </xf>
    <xf numFmtId="0" fontId="23" fillId="0" borderId="23" xfId="1" applyFont="1" applyFill="1" applyBorder="1" applyAlignment="1">
      <alignment vertical="center"/>
    </xf>
    <xf numFmtId="0" fontId="23" fillId="0" borderId="23" xfId="1" applyFont="1" applyFill="1" applyBorder="1" applyAlignment="1">
      <alignment horizontal="center"/>
    </xf>
    <xf numFmtId="0" fontId="22" fillId="0" borderId="23" xfId="1" applyFont="1" applyFill="1" applyBorder="1" applyAlignment="1"/>
    <xf numFmtId="0" fontId="19" fillId="0" borderId="23" xfId="1" applyFont="1" applyFill="1" applyBorder="1" applyAlignment="1">
      <alignment horizontal="center"/>
    </xf>
    <xf numFmtId="0" fontId="0" fillId="0" borderId="23" xfId="0" applyFont="1" applyBorder="1"/>
    <xf numFmtId="0" fontId="0" fillId="0" borderId="23" xfId="0" applyFont="1" applyBorder="1" applyAlignment="1">
      <alignment horizontal="center"/>
    </xf>
    <xf numFmtId="0" fontId="22" fillId="0" borderId="23" xfId="0" applyFont="1" applyBorder="1" applyAlignment="1"/>
    <xf numFmtId="0" fontId="0" fillId="0" borderId="24" xfId="0" applyFont="1" applyBorder="1"/>
    <xf numFmtId="0" fontId="0" fillId="0" borderId="24" xfId="0" applyFont="1" applyBorder="1" applyAlignment="1">
      <alignment horizontal="center"/>
    </xf>
    <xf numFmtId="0" fontId="22" fillId="0" borderId="24" xfId="0" applyFont="1" applyBorder="1" applyAlignment="1"/>
    <xf numFmtId="0" fontId="0" fillId="0" borderId="25" xfId="0" applyFont="1" applyFill="1" applyBorder="1"/>
    <xf numFmtId="0" fontId="0" fillId="0" borderId="25" xfId="0" applyFont="1" applyFill="1" applyBorder="1" applyAlignment="1">
      <alignment horizontal="center"/>
    </xf>
    <xf numFmtId="0" fontId="22" fillId="0" borderId="25" xfId="0" applyFont="1" applyFill="1" applyBorder="1" applyAlignment="1"/>
    <xf numFmtId="0" fontId="0" fillId="0" borderId="24" xfId="0" applyFont="1" applyFill="1" applyBorder="1" applyAlignment="1">
      <alignment vertical="center"/>
    </xf>
    <xf numFmtId="0" fontId="0" fillId="0" borderId="24" xfId="0" applyFont="1" applyFill="1" applyBorder="1" applyAlignment="1">
      <alignment horizontal="center"/>
    </xf>
    <xf numFmtId="0" fontId="22" fillId="0" borderId="24" xfId="0" applyFont="1" applyFill="1" applyBorder="1" applyAlignment="1"/>
    <xf numFmtId="0" fontId="21" fillId="0" borderId="25" xfId="0" applyFont="1" applyFill="1" applyBorder="1" applyAlignment="1">
      <alignment horizontal="center" vertical="center"/>
    </xf>
    <xf numFmtId="10" fontId="21" fillId="0" borderId="25" xfId="0" applyNumberFormat="1" applyFont="1" applyFill="1" applyBorder="1" applyAlignment="1">
      <alignment horizontal="center" vertical="center" wrapText="1"/>
    </xf>
    <xf numFmtId="0" fontId="21" fillId="0" borderId="24" xfId="0" applyFont="1" applyFill="1" applyBorder="1"/>
    <xf numFmtId="0" fontId="21" fillId="0" borderId="24" xfId="0" applyFont="1" applyFill="1" applyBorder="1" applyAlignment="1">
      <alignment horizontal="center"/>
    </xf>
    <xf numFmtId="0" fontId="19" fillId="0" borderId="24" xfId="1" applyFont="1" applyFill="1" applyBorder="1" applyAlignment="1">
      <alignment horizontal="center"/>
    </xf>
    <xf numFmtId="0" fontId="23" fillId="0" borderId="24" xfId="1" applyFont="1" applyFill="1" applyBorder="1" applyAlignment="1">
      <alignment horizontal="center"/>
    </xf>
    <xf numFmtId="0" fontId="20" fillId="0" borderId="24" xfId="1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/>
    </xf>
    <xf numFmtId="10" fontId="21" fillId="0" borderId="24" xfId="0" applyNumberFormat="1" applyFont="1" applyFill="1" applyBorder="1" applyAlignment="1">
      <alignment horizontal="center" vertical="center" wrapText="1"/>
    </xf>
    <xf numFmtId="0" fontId="24" fillId="0" borderId="24" xfId="0" applyFont="1" applyFill="1" applyBorder="1"/>
    <xf numFmtId="0" fontId="23" fillId="0" borderId="25" xfId="1" applyFont="1" applyFill="1" applyBorder="1" applyAlignment="1">
      <alignment horizontal="center"/>
    </xf>
    <xf numFmtId="0" fontId="19" fillId="0" borderId="25" xfId="1" applyFont="1" applyFill="1" applyBorder="1" applyAlignment="1">
      <alignment horizontal="center"/>
    </xf>
    <xf numFmtId="0" fontId="20" fillId="0" borderId="25" xfId="1" applyFont="1" applyFill="1" applyBorder="1" applyAlignment="1">
      <alignment horizontal="center" vertical="center"/>
    </xf>
    <xf numFmtId="0" fontId="23" fillId="0" borderId="25" xfId="1" applyFont="1" applyFill="1" applyBorder="1"/>
    <xf numFmtId="0" fontId="22" fillId="0" borderId="25" xfId="1" applyFont="1" applyFill="1" applyBorder="1" applyAlignment="1"/>
    <xf numFmtId="0" fontId="23" fillId="0" borderId="24" xfId="1" applyFont="1" applyFill="1" applyBorder="1" applyAlignment="1">
      <alignment horizontal="center" vertical="center"/>
    </xf>
    <xf numFmtId="0" fontId="19" fillId="0" borderId="24" xfId="1" applyFont="1" applyFill="1" applyBorder="1" applyAlignment="1">
      <alignment horizontal="center" vertical="center"/>
    </xf>
    <xf numFmtId="0" fontId="23" fillId="0" borderId="24" xfId="1" applyFont="1" applyFill="1" applyBorder="1" applyAlignment="1">
      <alignment vertical="center"/>
    </xf>
    <xf numFmtId="0" fontId="22" fillId="0" borderId="24" xfId="1" applyFont="1" applyFill="1" applyBorder="1" applyAlignment="1"/>
    <xf numFmtId="0" fontId="23" fillId="0" borderId="25" xfId="1" applyFont="1" applyFill="1" applyBorder="1" applyAlignment="1">
      <alignment vertical="center"/>
    </xf>
    <xf numFmtId="0" fontId="0" fillId="0" borderId="24" xfId="0" applyFont="1" applyFill="1" applyBorder="1" applyAlignment="1">
      <alignment horizontal="center" vertical="center"/>
    </xf>
    <xf numFmtId="0" fontId="19" fillId="0" borderId="24" xfId="0" applyFont="1" applyFill="1" applyBorder="1" applyAlignment="1">
      <alignment horizontal="center" vertical="center"/>
    </xf>
    <xf numFmtId="0" fontId="20" fillId="0" borderId="2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4" xfId="0" applyFill="1" applyBorder="1"/>
    <xf numFmtId="0" fontId="19" fillId="0" borderId="24" xfId="0" applyFont="1" applyFill="1" applyBorder="1" applyAlignment="1">
      <alignment horizontal="center"/>
    </xf>
    <xf numFmtId="0" fontId="20" fillId="0" borderId="24" xfId="0" applyFont="1" applyFill="1" applyBorder="1" applyAlignment="1">
      <alignment horizontal="center"/>
    </xf>
    <xf numFmtId="0" fontId="0" fillId="0" borderId="24" xfId="0" applyFont="1" applyFill="1" applyBorder="1"/>
    <xf numFmtId="0" fontId="16" fillId="0" borderId="24" xfId="0" applyFont="1" applyFill="1" applyBorder="1" applyAlignment="1">
      <alignment horizontal="left"/>
    </xf>
    <xf numFmtId="0" fontId="16" fillId="0" borderId="24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/>
    </xf>
    <xf numFmtId="0" fontId="18" fillId="0" borderId="23" xfId="1" applyFont="1" applyFill="1" applyBorder="1" applyAlignment="1">
      <alignment horizontal="left" vertical="center"/>
    </xf>
    <xf numFmtId="0" fontId="18" fillId="0" borderId="24" xfId="1" applyFont="1" applyFill="1" applyBorder="1" applyAlignment="1">
      <alignment horizontal="left" vertical="center"/>
    </xf>
    <xf numFmtId="0" fontId="18" fillId="0" borderId="25" xfId="1" applyFont="1" applyFill="1" applyBorder="1" applyAlignment="1">
      <alignment horizontal="left" vertical="center"/>
    </xf>
    <xf numFmtId="0" fontId="20" fillId="0" borderId="24" xfId="0" applyFont="1" applyFill="1" applyBorder="1"/>
    <xf numFmtId="0" fontId="16" fillId="0" borderId="23" xfId="0" applyFont="1" applyFill="1" applyBorder="1"/>
    <xf numFmtId="0" fontId="13" fillId="0" borderId="0" xfId="0" applyFont="1" applyAlignment="1"/>
    <xf numFmtId="0" fontId="12" fillId="0" borderId="0" xfId="0" applyFont="1" applyAlignment="1"/>
    <xf numFmtId="0" fontId="26" fillId="0" borderId="0" xfId="0" applyFont="1"/>
    <xf numFmtId="49" fontId="26" fillId="0" borderId="0" xfId="0" applyNumberFormat="1" applyFont="1"/>
    <xf numFmtId="0" fontId="0" fillId="0" borderId="26" xfId="0" applyBorder="1"/>
    <xf numFmtId="49" fontId="16" fillId="0" borderId="26" xfId="0" applyNumberFormat="1" applyFont="1" applyBorder="1"/>
    <xf numFmtId="0" fontId="16" fillId="0" borderId="26" xfId="0" applyFont="1" applyBorder="1"/>
    <xf numFmtId="0" fontId="0" fillId="0" borderId="25" xfId="0" applyFill="1" applyBorder="1"/>
    <xf numFmtId="0" fontId="16" fillId="0" borderId="0" xfId="0" applyFont="1"/>
    <xf numFmtId="0" fontId="27" fillId="0" borderId="0" xfId="0" applyFont="1"/>
    <xf numFmtId="0" fontId="28" fillId="0" borderId="22" xfId="0" applyFont="1" applyFill="1" applyBorder="1" applyAlignment="1">
      <alignment horizontal="center"/>
    </xf>
    <xf numFmtId="0" fontId="28" fillId="0" borderId="23" xfId="0" applyFont="1" applyFill="1" applyBorder="1" applyAlignment="1">
      <alignment horizontal="center"/>
    </xf>
    <xf numFmtId="0" fontId="28" fillId="0" borderId="24" xfId="0" applyFont="1" applyFill="1" applyBorder="1" applyAlignment="1">
      <alignment horizontal="center"/>
    </xf>
    <xf numFmtId="0" fontId="28" fillId="0" borderId="25" xfId="0" applyFont="1" applyFill="1" applyBorder="1" applyAlignment="1">
      <alignment horizontal="center"/>
    </xf>
    <xf numFmtId="0" fontId="28" fillId="0" borderId="25" xfId="0" applyFont="1" applyFill="1" applyBorder="1" applyAlignment="1">
      <alignment horizontal="center" vertical="center"/>
    </xf>
    <xf numFmtId="0" fontId="28" fillId="0" borderId="23" xfId="0" applyFont="1" applyFill="1" applyBorder="1" applyAlignment="1">
      <alignment horizontal="center" vertical="center"/>
    </xf>
    <xf numFmtId="0" fontId="28" fillId="0" borderId="24" xfId="0" applyFont="1" applyFill="1" applyBorder="1" applyAlignment="1">
      <alignment horizontal="center" vertical="center"/>
    </xf>
    <xf numFmtId="0" fontId="22" fillId="0" borderId="25" xfId="1" applyFont="1" applyFill="1" applyBorder="1" applyAlignment="1">
      <alignment horizontal="center"/>
    </xf>
    <xf numFmtId="0" fontId="22" fillId="0" borderId="23" xfId="1" applyFont="1" applyFill="1" applyBorder="1" applyAlignment="1">
      <alignment horizontal="center"/>
    </xf>
    <xf numFmtId="0" fontId="22" fillId="0" borderId="24" xfId="1" applyFont="1" applyFill="1" applyBorder="1" applyAlignment="1">
      <alignment horizontal="center"/>
    </xf>
    <xf numFmtId="0" fontId="24" fillId="0" borderId="24" xfId="0" applyFont="1" applyFill="1" applyBorder="1" applyAlignment="1">
      <alignment horizontal="center"/>
    </xf>
    <xf numFmtId="0" fontId="0" fillId="0" borderId="0" xfId="0" applyFill="1" applyBorder="1"/>
    <xf numFmtId="0" fontId="4" fillId="0" borderId="22" xfId="1" applyFont="1" applyFill="1" applyBorder="1" applyAlignment="1">
      <alignment horizontal="left" vertical="center"/>
    </xf>
    <xf numFmtId="0" fontId="17" fillId="0" borderId="22" xfId="1" applyFill="1" applyBorder="1" applyAlignment="1">
      <alignment horizontal="center"/>
    </xf>
    <xf numFmtId="0" fontId="9" fillId="0" borderId="22" xfId="1" applyFont="1" applyFill="1" applyBorder="1" applyAlignment="1">
      <alignment horizontal="center"/>
    </xf>
    <xf numFmtId="0" fontId="14" fillId="0" borderId="22" xfId="1" applyFont="1" applyFill="1" applyBorder="1" applyAlignment="1">
      <alignment horizontal="center"/>
    </xf>
    <xf numFmtId="10" fontId="11" fillId="0" borderId="22" xfId="1" applyNumberFormat="1" applyFont="1" applyFill="1" applyBorder="1" applyAlignment="1">
      <alignment horizontal="center" vertical="center" wrapText="1"/>
    </xf>
    <xf numFmtId="0" fontId="17" fillId="0" borderId="22" xfId="1" applyFont="1" applyFill="1" applyBorder="1"/>
    <xf numFmtId="0" fontId="10" fillId="0" borderId="22" xfId="1" applyFont="1" applyFill="1" applyBorder="1" applyAlignment="1">
      <alignment horizontal="center"/>
    </xf>
    <xf numFmtId="0" fontId="10" fillId="0" borderId="22" xfId="1" applyFont="1" applyFill="1" applyBorder="1" applyAlignment="1"/>
    <xf numFmtId="0" fontId="16" fillId="0" borderId="1" xfId="0" applyFont="1" applyBorder="1"/>
    <xf numFmtId="0" fontId="0" fillId="0" borderId="1" xfId="0" applyBorder="1"/>
    <xf numFmtId="0" fontId="23" fillId="0" borderId="29" xfId="1" applyFont="1" applyFill="1" applyBorder="1"/>
    <xf numFmtId="0" fontId="23" fillId="0" borderId="29" xfId="1" applyFont="1" applyFill="1" applyBorder="1" applyAlignment="1">
      <alignment horizontal="center"/>
    </xf>
    <xf numFmtId="0" fontId="22" fillId="0" borderId="29" xfId="1" applyFont="1" applyFill="1" applyBorder="1" applyAlignment="1">
      <alignment horizontal="center"/>
    </xf>
    <xf numFmtId="0" fontId="22" fillId="0" borderId="29" xfId="1" applyFont="1" applyFill="1" applyBorder="1" applyAlignment="1"/>
    <xf numFmtId="0" fontId="0" fillId="0" borderId="29" xfId="0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16" fillId="0" borderId="2" xfId="0" applyFont="1" applyBorder="1" applyAlignment="1">
      <alignment horizontal="right"/>
    </xf>
    <xf numFmtId="0" fontId="0" fillId="3" borderId="9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6" fillId="0" borderId="26" xfId="0" applyFon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15" borderId="0" xfId="0" applyFill="1" applyBorder="1" applyAlignment="1">
      <alignment horizontal="center"/>
    </xf>
    <xf numFmtId="0" fontId="0" fillId="15" borderId="29" xfId="0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10" fontId="21" fillId="0" borderId="25" xfId="0" applyNumberFormat="1" applyFont="1" applyFill="1" applyBorder="1" applyAlignment="1">
      <alignment horizontal="center" vertical="center" wrapText="1"/>
    </xf>
    <xf numFmtId="10" fontId="21" fillId="0" borderId="23" xfId="0" applyNumberFormat="1" applyFont="1" applyFill="1" applyBorder="1" applyAlignment="1">
      <alignment horizontal="center" vertical="center" wrapText="1"/>
    </xf>
    <xf numFmtId="0" fontId="0" fillId="0" borderId="23" xfId="0" applyFont="1" applyFill="1" applyBorder="1" applyAlignment="1">
      <alignment horizontal="center" vertical="center"/>
    </xf>
    <xf numFmtId="0" fontId="20" fillId="0" borderId="23" xfId="0" applyFont="1" applyFill="1" applyBorder="1" applyAlignment="1">
      <alignment horizontal="center" vertical="center"/>
    </xf>
    <xf numFmtId="0" fontId="21" fillId="0" borderId="23" xfId="0" applyFont="1" applyFill="1" applyBorder="1" applyAlignment="1">
      <alignment horizontal="center" vertical="center"/>
    </xf>
    <xf numFmtId="10" fontId="21" fillId="0" borderId="24" xfId="0" applyNumberFormat="1" applyFont="1" applyFill="1" applyBorder="1" applyAlignment="1">
      <alignment horizontal="center" vertical="center" wrapText="1"/>
    </xf>
    <xf numFmtId="0" fontId="25" fillId="8" borderId="25" xfId="1" applyFont="1" applyFill="1" applyBorder="1" applyAlignment="1">
      <alignment horizontal="center" vertical="center"/>
    </xf>
    <xf numFmtId="0" fontId="25" fillId="8" borderId="23" xfId="1" applyFont="1" applyFill="1" applyBorder="1" applyAlignment="1">
      <alignment horizontal="center" vertical="center"/>
    </xf>
    <xf numFmtId="0" fontId="25" fillId="8" borderId="24" xfId="1" applyFont="1" applyFill="1" applyBorder="1" applyAlignment="1">
      <alignment horizontal="center" vertical="center"/>
    </xf>
    <xf numFmtId="0" fontId="18" fillId="0" borderId="25" xfId="1" applyFont="1" applyBorder="1" applyAlignment="1">
      <alignment horizontal="center" vertical="center"/>
    </xf>
    <xf numFmtId="0" fontId="18" fillId="0" borderId="23" xfId="1" applyFont="1" applyBorder="1" applyAlignment="1">
      <alignment horizontal="center" vertical="center"/>
    </xf>
    <xf numFmtId="0" fontId="18" fillId="0" borderId="24" xfId="1" applyFont="1" applyBorder="1" applyAlignment="1">
      <alignment horizontal="center" vertical="center"/>
    </xf>
    <xf numFmtId="0" fontId="16" fillId="0" borderId="23" xfId="0" applyFont="1" applyFill="1" applyBorder="1" applyAlignment="1">
      <alignment horizontal="left" vertical="center"/>
    </xf>
    <xf numFmtId="0" fontId="19" fillId="0" borderId="23" xfId="0" applyFont="1" applyFill="1" applyBorder="1" applyAlignment="1">
      <alignment horizontal="center" vertical="center"/>
    </xf>
    <xf numFmtId="0" fontId="25" fillId="7" borderId="25" xfId="0" applyFont="1" applyFill="1" applyBorder="1" applyAlignment="1">
      <alignment horizontal="center" vertical="center"/>
    </xf>
    <xf numFmtId="0" fontId="25" fillId="7" borderId="23" xfId="0" applyFont="1" applyFill="1" applyBorder="1" applyAlignment="1">
      <alignment horizontal="center" vertical="center"/>
    </xf>
    <xf numFmtId="0" fontId="25" fillId="7" borderId="24" xfId="0" applyFont="1" applyFill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25" fillId="13" borderId="27" xfId="0" applyFont="1" applyFill="1" applyBorder="1" applyAlignment="1">
      <alignment horizontal="center" vertical="center"/>
    </xf>
    <xf numFmtId="0" fontId="25" fillId="13" borderId="0" xfId="0" applyFont="1" applyFill="1" applyBorder="1" applyAlignment="1">
      <alignment horizontal="center" vertical="center"/>
    </xf>
    <xf numFmtId="0" fontId="25" fillId="13" borderId="29" xfId="0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23" fillId="0" borderId="23" xfId="1" applyFont="1" applyFill="1" applyBorder="1" applyAlignment="1">
      <alignment horizontal="center" vertical="center"/>
    </xf>
    <xf numFmtId="0" fontId="20" fillId="0" borderId="23" xfId="1" applyFont="1" applyFill="1" applyBorder="1" applyAlignment="1">
      <alignment horizontal="center" vertical="center"/>
    </xf>
    <xf numFmtId="0" fontId="16" fillId="0" borderId="25" xfId="0" applyFont="1" applyFill="1" applyBorder="1" applyAlignment="1">
      <alignment horizontal="left" vertical="center"/>
    </xf>
    <xf numFmtId="0" fontId="0" fillId="0" borderId="25" xfId="0" applyFont="1" applyFill="1" applyBorder="1" applyAlignment="1">
      <alignment horizontal="center" vertical="center"/>
    </xf>
    <xf numFmtId="0" fontId="19" fillId="0" borderId="25" xfId="0" applyFont="1" applyFill="1" applyBorder="1" applyAlignment="1">
      <alignment horizontal="center" vertical="center"/>
    </xf>
    <xf numFmtId="0" fontId="20" fillId="0" borderId="25" xfId="0" applyFont="1" applyFill="1" applyBorder="1" applyAlignment="1">
      <alignment horizontal="center" vertical="center"/>
    </xf>
    <xf numFmtId="0" fontId="21" fillId="0" borderId="25" xfId="0" applyFont="1" applyFill="1" applyBorder="1" applyAlignment="1">
      <alignment horizontal="center" vertical="center"/>
    </xf>
    <xf numFmtId="0" fontId="25" fillId="16" borderId="25" xfId="1" applyFont="1" applyFill="1" applyBorder="1" applyAlignment="1">
      <alignment horizontal="center" vertical="center"/>
    </xf>
    <xf numFmtId="0" fontId="25" fillId="16" borderId="23" xfId="1" applyFont="1" applyFill="1" applyBorder="1" applyAlignment="1">
      <alignment horizontal="center" vertical="center"/>
    </xf>
    <xf numFmtId="0" fontId="25" fillId="16" borderId="24" xfId="1" applyFont="1" applyFill="1" applyBorder="1" applyAlignment="1">
      <alignment horizontal="center" vertical="center"/>
    </xf>
    <xf numFmtId="0" fontId="18" fillId="0" borderId="25" xfId="1" applyFont="1" applyFill="1" applyBorder="1" applyAlignment="1">
      <alignment horizontal="left" vertical="center"/>
    </xf>
    <xf numFmtId="0" fontId="18" fillId="0" borderId="23" xfId="1" applyFont="1" applyFill="1" applyBorder="1" applyAlignment="1">
      <alignment horizontal="left" vertical="center"/>
    </xf>
    <xf numFmtId="0" fontId="23" fillId="0" borderId="25" xfId="1" applyFont="1" applyFill="1" applyBorder="1" applyAlignment="1">
      <alignment horizontal="center" vertical="center"/>
    </xf>
    <xf numFmtId="0" fontId="19" fillId="0" borderId="25" xfId="1" applyFont="1" applyFill="1" applyBorder="1" applyAlignment="1">
      <alignment horizontal="center" vertical="center"/>
    </xf>
    <xf numFmtId="0" fontId="19" fillId="0" borderId="23" xfId="1" applyFont="1" applyFill="1" applyBorder="1" applyAlignment="1">
      <alignment horizontal="center" vertical="center"/>
    </xf>
    <xf numFmtId="0" fontId="25" fillId="15" borderId="25" xfId="0" applyFont="1" applyFill="1" applyBorder="1" applyAlignment="1">
      <alignment horizontal="center" vertical="center"/>
    </xf>
    <xf numFmtId="0" fontId="25" fillId="15" borderId="23" xfId="0" applyFont="1" applyFill="1" applyBorder="1" applyAlignment="1">
      <alignment horizontal="center" vertical="center"/>
    </xf>
    <xf numFmtId="0" fontId="25" fillId="15" borderId="24" xfId="0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6" fillId="0" borderId="2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/>
    </xf>
    <xf numFmtId="0" fontId="25" fillId="14" borderId="22" xfId="0" applyFont="1" applyFill="1" applyBorder="1" applyAlignment="1">
      <alignment horizontal="center" vertical="center"/>
    </xf>
    <xf numFmtId="0" fontId="25" fillId="14" borderId="23" xfId="0" applyFont="1" applyFill="1" applyBorder="1" applyAlignment="1">
      <alignment horizontal="center" vertical="center"/>
    </xf>
    <xf numFmtId="0" fontId="25" fillId="14" borderId="24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9" fillId="0" borderId="22" xfId="0" applyFont="1" applyFill="1" applyBorder="1" applyAlignment="1">
      <alignment horizontal="center"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23" xfId="0" applyFont="1" applyBorder="1" applyAlignment="1">
      <alignment horizontal="left" vertical="center"/>
    </xf>
    <xf numFmtId="0" fontId="16" fillId="0" borderId="24" xfId="0" applyFont="1" applyBorder="1" applyAlignment="1">
      <alignment horizontal="left" vertical="center"/>
    </xf>
    <xf numFmtId="0" fontId="0" fillId="0" borderId="23" xfId="0" applyFont="1" applyBorder="1" applyAlignment="1">
      <alignment horizontal="center" vertical="center"/>
    </xf>
    <xf numFmtId="0" fontId="25" fillId="19" borderId="22" xfId="0" applyFont="1" applyFill="1" applyBorder="1" applyAlignment="1">
      <alignment horizontal="center" vertical="center"/>
    </xf>
    <xf numFmtId="0" fontId="25" fillId="19" borderId="23" xfId="0" applyFont="1" applyFill="1" applyBorder="1" applyAlignment="1">
      <alignment horizontal="center" vertical="center"/>
    </xf>
    <xf numFmtId="0" fontId="25" fillId="19" borderId="24" xfId="0" applyFont="1" applyFill="1" applyBorder="1" applyAlignment="1">
      <alignment horizontal="center" vertical="center"/>
    </xf>
    <xf numFmtId="0" fontId="25" fillId="17" borderId="27" xfId="0" applyFont="1" applyFill="1" applyBorder="1" applyAlignment="1">
      <alignment horizontal="center" vertical="center"/>
    </xf>
    <xf numFmtId="0" fontId="25" fillId="17" borderId="0" xfId="0" applyFont="1" applyFill="1" applyBorder="1" applyAlignment="1">
      <alignment horizontal="center" vertical="center"/>
    </xf>
    <xf numFmtId="0" fontId="25" fillId="17" borderId="29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0" fillId="0" borderId="10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" xfId="0" applyBorder="1" applyAlignment="1">
      <alignment horizontal="right"/>
    </xf>
    <xf numFmtId="0" fontId="6" fillId="6" borderId="12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/>
    </xf>
    <xf numFmtId="0" fontId="20" fillId="0" borderId="23" xfId="0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10" fontId="21" fillId="0" borderId="22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wrapText="1"/>
    </xf>
    <xf numFmtId="0" fontId="3" fillId="2" borderId="21" xfId="0" applyFont="1" applyFill="1" applyBorder="1" applyAlignment="1">
      <alignment horizontal="center"/>
    </xf>
    <xf numFmtId="0" fontId="21" fillId="0" borderId="23" xfId="0" applyFont="1" applyBorder="1" applyAlignment="1">
      <alignment horizontal="center" vertical="center"/>
    </xf>
    <xf numFmtId="0" fontId="21" fillId="0" borderId="2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/>
    </xf>
    <xf numFmtId="0" fontId="3" fillId="2" borderId="8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10" fontId="21" fillId="0" borderId="23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7" fillId="2" borderId="28" xfId="0" applyFont="1" applyFill="1" applyBorder="1" applyAlignment="1">
      <alignment horizontal="center"/>
    </xf>
    <xf numFmtId="0" fontId="0" fillId="0" borderId="24" xfId="0" applyFont="1" applyFill="1" applyBorder="1" applyAlignment="1">
      <alignment horizontal="center" vertical="center"/>
    </xf>
    <xf numFmtId="0" fontId="20" fillId="0" borderId="24" xfId="0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10" fontId="21" fillId="0" borderId="24" xfId="0" applyNumberFormat="1" applyFont="1" applyBorder="1" applyAlignment="1">
      <alignment horizontal="center" vertical="center" wrapText="1"/>
    </xf>
    <xf numFmtId="0" fontId="19" fillId="0" borderId="24" xfId="0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20" fillId="0" borderId="25" xfId="1" applyFont="1" applyFill="1" applyBorder="1" applyAlignment="1">
      <alignment horizontal="center" vertical="center"/>
    </xf>
    <xf numFmtId="0" fontId="18" fillId="0" borderId="27" xfId="1" applyFont="1" applyFill="1" applyBorder="1" applyAlignment="1">
      <alignment horizontal="left" vertical="center"/>
    </xf>
    <xf numFmtId="0" fontId="23" fillId="0" borderId="27" xfId="1" applyFont="1" applyFill="1" applyBorder="1" applyAlignment="1">
      <alignment horizontal="center" vertical="center"/>
    </xf>
    <xf numFmtId="0" fontId="19" fillId="0" borderId="27" xfId="1" applyFont="1" applyFill="1" applyBorder="1" applyAlignment="1">
      <alignment horizontal="center" vertical="center"/>
    </xf>
    <xf numFmtId="0" fontId="20" fillId="0" borderId="27" xfId="1" applyFont="1" applyFill="1" applyBorder="1" applyAlignment="1">
      <alignment horizontal="center" vertical="center"/>
    </xf>
    <xf numFmtId="0" fontId="21" fillId="0" borderId="27" xfId="0" applyFont="1" applyFill="1" applyBorder="1" applyAlignment="1">
      <alignment horizontal="center" vertical="center"/>
    </xf>
    <xf numFmtId="10" fontId="21" fillId="0" borderId="27" xfId="0" applyNumberFormat="1" applyFont="1" applyFill="1" applyBorder="1" applyAlignment="1">
      <alignment horizontal="center" vertical="center" wrapText="1"/>
    </xf>
    <xf numFmtId="0" fontId="25" fillId="18" borderId="27" xfId="0" applyFont="1" applyFill="1" applyBorder="1" applyAlignment="1">
      <alignment horizontal="center" vertical="center"/>
    </xf>
    <xf numFmtId="0" fontId="25" fillId="18" borderId="29" xfId="0" applyFont="1" applyFill="1" applyBorder="1" applyAlignment="1">
      <alignment horizontal="center" vertical="center"/>
    </xf>
    <xf numFmtId="0" fontId="18" fillId="0" borderId="29" xfId="1" applyFont="1" applyFill="1" applyBorder="1" applyAlignment="1">
      <alignment horizontal="left" vertical="center"/>
    </xf>
    <xf numFmtId="0" fontId="23" fillId="0" borderId="29" xfId="1" applyFont="1" applyFill="1" applyBorder="1" applyAlignment="1">
      <alignment horizontal="center" vertical="center"/>
    </xf>
    <xf numFmtId="0" fontId="19" fillId="0" borderId="29" xfId="1" applyFont="1" applyFill="1" applyBorder="1" applyAlignment="1">
      <alignment horizontal="center" vertical="center"/>
    </xf>
    <xf numFmtId="0" fontId="20" fillId="0" borderId="29" xfId="1" applyFont="1" applyFill="1" applyBorder="1" applyAlignment="1">
      <alignment horizontal="center" vertical="center"/>
    </xf>
    <xf numFmtId="0" fontId="21" fillId="0" borderId="29" xfId="0" applyFont="1" applyFill="1" applyBorder="1" applyAlignment="1">
      <alignment horizontal="center" vertical="center"/>
    </xf>
    <xf numFmtId="10" fontId="21" fillId="0" borderId="29" xfId="0" applyNumberFormat="1" applyFont="1" applyFill="1" applyBorder="1" applyAlignment="1">
      <alignment horizontal="center" vertical="center" wrapText="1"/>
    </xf>
    <xf numFmtId="0" fontId="17" fillId="8" borderId="20" xfId="1" applyFont="1" applyFill="1" applyBorder="1" applyAlignment="1">
      <alignment horizontal="center" vertical="center"/>
    </xf>
    <xf numFmtId="0" fontId="17" fillId="10" borderId="19" xfId="1" applyFont="1" applyFill="1" applyBorder="1" applyAlignment="1">
      <alignment horizontal="center" vertical="center"/>
    </xf>
    <xf numFmtId="0" fontId="17" fillId="8" borderId="14" xfId="1" applyFont="1" applyFill="1" applyBorder="1" applyAlignment="1">
      <alignment horizontal="center" vertical="center" wrapText="1"/>
    </xf>
    <xf numFmtId="0" fontId="17" fillId="10" borderId="15" xfId="1" applyFont="1" applyFill="1" applyBorder="1" applyAlignment="1">
      <alignment horizontal="center" vertical="center"/>
    </xf>
    <xf numFmtId="0" fontId="17" fillId="8" borderId="15" xfId="1" applyFont="1" applyFill="1" applyBorder="1" applyAlignment="1">
      <alignment horizontal="center" vertical="center" wrapText="1"/>
    </xf>
    <xf numFmtId="0" fontId="17" fillId="10" borderId="20" xfId="1" applyFont="1" applyFill="1" applyBorder="1" applyAlignment="1">
      <alignment horizontal="center" vertical="center"/>
    </xf>
    <xf numFmtId="0" fontId="17" fillId="8" borderId="19" xfId="1" applyFont="1" applyFill="1" applyBorder="1" applyAlignment="1">
      <alignment horizontal="center" vertical="center"/>
    </xf>
  </cellXfs>
  <cellStyles count="2">
    <cellStyle name="Excel Built-in Normal" xfId="1"/>
    <cellStyle name="Normal" xfId="0" builtinId="0"/>
  </cellStyles>
  <dxfs count="3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lor rgb="FF0000FF"/>
      </font>
    </dxf>
  </dxfs>
  <tableStyles count="0" defaultTableStyle="TableStyleMedium9" defaultPivotStyle="PivotStyleLight16"/>
  <colors>
    <mruColors>
      <color rgb="FF82E0E2"/>
      <color rgb="FF0099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619125</xdr:colOff>
      <xdr:row>6</xdr:row>
      <xdr:rowOff>171450</xdr:rowOff>
    </xdr:from>
    <xdr:to>
      <xdr:col>8</xdr:col>
      <xdr:colOff>400050</xdr:colOff>
      <xdr:row>30</xdr:row>
      <xdr:rowOff>66675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505075" y="1543050"/>
          <a:ext cx="3876675" cy="4467225"/>
        </a:xfrm>
        <a:prstGeom prst="rect">
          <a:avLst/>
        </a:prstGeom>
        <a:noFill/>
        <a:ln w="9525" cap="flat">
          <a:noFill/>
          <a:round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E16"/>
  <sheetViews>
    <sheetView workbookViewId="0">
      <selection activeCell="D5" sqref="D5"/>
    </sheetView>
  </sheetViews>
  <sheetFormatPr defaultColWidth="9.140625" defaultRowHeight="15"/>
  <cols>
    <col min="1" max="1" width="4.7109375" customWidth="1"/>
  </cols>
  <sheetData>
    <row r="2" spans="3:5">
      <c r="C2" t="s">
        <v>76</v>
      </c>
    </row>
    <row r="3" spans="3:5">
      <c r="C3" s="10"/>
    </row>
    <row r="4" spans="3:5">
      <c r="C4" s="10" t="s">
        <v>75</v>
      </c>
      <c r="D4" s="3">
        <f>1+11+1+1+1+4+15+1+1+1+7</f>
        <v>44</v>
      </c>
      <c r="E4" t="s">
        <v>77</v>
      </c>
    </row>
    <row r="5" spans="3:5">
      <c r="C5" s="10" t="s">
        <v>78</v>
      </c>
      <c r="D5" s="3">
        <f>6/5</f>
        <v>1.2</v>
      </c>
      <c r="E5" t="s">
        <v>79</v>
      </c>
    </row>
    <row r="6" spans="3:5">
      <c r="C6" s="10" t="s">
        <v>80</v>
      </c>
      <c r="D6" s="3">
        <v>125</v>
      </c>
      <c r="E6" t="s">
        <v>81</v>
      </c>
    </row>
    <row r="7" spans="3:5">
      <c r="C7" s="10"/>
    </row>
    <row r="8" spans="3:5">
      <c r="C8" s="10"/>
    </row>
    <row r="9" spans="3:5">
      <c r="C9" s="10"/>
    </row>
    <row r="10" spans="3:5">
      <c r="C10" s="10"/>
    </row>
    <row r="11" spans="3:5">
      <c r="C11" s="10"/>
    </row>
    <row r="12" spans="3:5">
      <c r="C12" s="10"/>
    </row>
    <row r="13" spans="3:5">
      <c r="C13" s="10"/>
    </row>
    <row r="14" spans="3:5">
      <c r="C14" s="10"/>
    </row>
    <row r="15" spans="3:5">
      <c r="C15" s="10"/>
    </row>
    <row r="16" spans="3:5">
      <c r="C16" s="10"/>
    </row>
  </sheetData>
  <phoneticPr fontId="1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1:P99"/>
  <sheetViews>
    <sheetView showGridLines="0" topLeftCell="A26" zoomScaleSheetLayoutView="55" workbookViewId="0">
      <selection activeCell="E93" sqref="E93:E94"/>
    </sheetView>
  </sheetViews>
  <sheetFormatPr defaultColWidth="5.7109375" defaultRowHeight="15"/>
  <cols>
    <col min="1" max="1" width="2.7109375" customWidth="1"/>
    <col min="2" max="2" width="12" customWidth="1"/>
    <col min="3" max="3" width="13" customWidth="1"/>
  </cols>
  <sheetData>
    <row r="1" spans="2:16" ht="33" customHeight="1">
      <c r="B1" s="113" t="s">
        <v>198</v>
      </c>
      <c r="C1" s="113"/>
      <c r="D1" s="113"/>
      <c r="E1" s="113"/>
      <c r="F1" s="113"/>
      <c r="G1" s="113"/>
      <c r="H1" s="113"/>
      <c r="I1" s="112"/>
      <c r="K1" s="112"/>
      <c r="L1" s="112"/>
      <c r="M1" s="112"/>
      <c r="N1" s="17" t="s">
        <v>271</v>
      </c>
      <c r="O1" s="112"/>
      <c r="P1" s="112"/>
    </row>
    <row r="2" spans="2:16">
      <c r="B2" s="5"/>
      <c r="C2" s="16"/>
      <c r="D2" s="5"/>
      <c r="E2" s="16"/>
      <c r="K2" s="18"/>
      <c r="M2" s="16"/>
      <c r="N2" s="16"/>
      <c r="O2" s="5"/>
    </row>
    <row r="3" spans="2:16">
      <c r="B3" s="149" t="s">
        <v>14</v>
      </c>
      <c r="C3" s="149"/>
      <c r="D3" s="149"/>
      <c r="E3" s="149"/>
      <c r="F3" s="149"/>
      <c r="G3" s="149"/>
      <c r="H3" s="149"/>
      <c r="I3" s="149"/>
      <c r="J3" s="149"/>
    </row>
    <row r="4" spans="2:16">
      <c r="D4" s="151" t="s">
        <v>37</v>
      </c>
      <c r="E4" s="151"/>
      <c r="F4" s="151"/>
      <c r="G4" s="151"/>
      <c r="H4" s="151"/>
      <c r="I4" s="151"/>
      <c r="J4" s="151"/>
      <c r="K4" s="151"/>
      <c r="L4" s="151"/>
      <c r="M4" s="151"/>
      <c r="N4" s="151"/>
    </row>
    <row r="5" spans="2:16">
      <c r="D5" s="7">
        <v>10</v>
      </c>
      <c r="E5" s="7">
        <v>9</v>
      </c>
      <c r="F5" s="7">
        <v>8</v>
      </c>
      <c r="G5" s="7">
        <v>7</v>
      </c>
      <c r="H5" s="7">
        <v>6</v>
      </c>
      <c r="I5" s="7">
        <v>5</v>
      </c>
      <c r="J5" s="7">
        <v>4</v>
      </c>
      <c r="K5" s="7">
        <v>3</v>
      </c>
      <c r="L5" s="7">
        <v>2</v>
      </c>
      <c r="M5" s="7">
        <v>1</v>
      </c>
      <c r="N5" s="7">
        <v>0</v>
      </c>
    </row>
    <row r="6" spans="2:16">
      <c r="B6" s="152" t="s">
        <v>47</v>
      </c>
      <c r="C6" s="153"/>
      <c r="D6" s="154" t="s">
        <v>46</v>
      </c>
      <c r="E6" s="154"/>
      <c r="F6" s="155" t="s">
        <v>0</v>
      </c>
      <c r="G6" s="155"/>
      <c r="H6" s="155"/>
      <c r="I6" s="155"/>
      <c r="J6" s="156" t="s">
        <v>38</v>
      </c>
      <c r="K6" s="156"/>
      <c r="L6" s="156"/>
      <c r="M6" s="156"/>
      <c r="N6" s="156"/>
    </row>
    <row r="8" spans="2:16">
      <c r="B8" s="114" t="s">
        <v>24</v>
      </c>
    </row>
    <row r="9" spans="2:16">
      <c r="B9" s="114"/>
    </row>
    <row r="10" spans="2:16" ht="15.75" thickBot="1">
      <c r="B10" s="118" t="s">
        <v>9</v>
      </c>
      <c r="C10" s="118" t="s">
        <v>10</v>
      </c>
      <c r="D10" s="118" t="s">
        <v>11</v>
      </c>
      <c r="E10" s="118"/>
      <c r="F10" s="118"/>
      <c r="G10" s="118"/>
      <c r="H10" s="118"/>
      <c r="I10" s="118"/>
      <c r="J10" s="118"/>
      <c r="K10" s="118"/>
      <c r="L10" s="118"/>
      <c r="M10" s="118"/>
      <c r="N10" s="118"/>
    </row>
    <row r="11" spans="2:16">
      <c r="B11" s="2">
        <v>0</v>
      </c>
      <c r="C11" t="s">
        <v>1</v>
      </c>
      <c r="D11" t="s">
        <v>7</v>
      </c>
    </row>
    <row r="12" spans="2:16">
      <c r="B12" s="2">
        <v>1</v>
      </c>
      <c r="C12" t="s">
        <v>2</v>
      </c>
      <c r="D12" t="s">
        <v>6</v>
      </c>
    </row>
    <row r="13" spans="2:16">
      <c r="B13" s="2">
        <v>2</v>
      </c>
      <c r="C13" t="s">
        <v>3</v>
      </c>
      <c r="D13" t="s">
        <v>8</v>
      </c>
      <c r="J13" s="150"/>
      <c r="K13" s="150"/>
      <c r="L13" s="8"/>
      <c r="M13" s="8"/>
    </row>
    <row r="14" spans="2:16">
      <c r="B14" s="2">
        <v>3</v>
      </c>
      <c r="C14" t="s">
        <v>4</v>
      </c>
      <c r="D14" t="s">
        <v>5</v>
      </c>
    </row>
    <row r="16" spans="2:16">
      <c r="B16" s="115" t="s">
        <v>13</v>
      </c>
    </row>
    <row r="17" spans="2:14">
      <c r="B17" s="115"/>
    </row>
    <row r="18" spans="2:14" ht="15.75" thickBot="1">
      <c r="B18" s="117" t="s">
        <v>12</v>
      </c>
      <c r="C18" s="118" t="s">
        <v>10</v>
      </c>
      <c r="D18" s="118" t="s">
        <v>11</v>
      </c>
      <c r="E18" s="118"/>
      <c r="F18" s="118"/>
      <c r="G18" s="118"/>
      <c r="H18" s="118"/>
      <c r="I18" s="118"/>
      <c r="J18" s="118"/>
      <c r="K18" s="118"/>
      <c r="L18" s="118"/>
      <c r="M18" s="118"/>
      <c r="N18" s="118"/>
    </row>
    <row r="19" spans="2:14">
      <c r="B19" s="3">
        <v>0</v>
      </c>
      <c r="C19" t="s">
        <v>35</v>
      </c>
      <c r="D19" t="s">
        <v>22</v>
      </c>
    </row>
    <row r="20" spans="2:14">
      <c r="B20" s="3">
        <v>1</v>
      </c>
      <c r="C20" t="s">
        <v>34</v>
      </c>
      <c r="D20" t="s">
        <v>21</v>
      </c>
    </row>
    <row r="21" spans="2:14">
      <c r="B21" s="3">
        <v>2</v>
      </c>
      <c r="C21" t="s">
        <v>33</v>
      </c>
      <c r="D21" t="s">
        <v>18</v>
      </c>
    </row>
    <row r="22" spans="2:14">
      <c r="B22" s="3">
        <v>3</v>
      </c>
      <c r="C22" t="s">
        <v>32</v>
      </c>
      <c r="D22" t="s">
        <v>23</v>
      </c>
    </row>
    <row r="23" spans="2:14">
      <c r="B23" s="3">
        <v>4</v>
      </c>
      <c r="C23" t="s">
        <v>31</v>
      </c>
      <c r="D23" t="s">
        <v>20</v>
      </c>
    </row>
    <row r="24" spans="2:14">
      <c r="B24" s="3">
        <v>5</v>
      </c>
      <c r="C24" t="s">
        <v>194</v>
      </c>
      <c r="D24" t="s">
        <v>195</v>
      </c>
    </row>
    <row r="25" spans="2:14">
      <c r="B25" s="3">
        <v>6</v>
      </c>
      <c r="C25" s="4" t="s">
        <v>19</v>
      </c>
    </row>
    <row r="26" spans="2:14">
      <c r="B26" s="3">
        <v>7</v>
      </c>
      <c r="C26" s="4" t="s">
        <v>19</v>
      </c>
    </row>
    <row r="27" spans="2:14">
      <c r="B27" s="3">
        <v>8</v>
      </c>
      <c r="C27" t="s">
        <v>30</v>
      </c>
      <c r="D27" t="s">
        <v>16</v>
      </c>
    </row>
    <row r="28" spans="2:14">
      <c r="B28" s="3">
        <v>9</v>
      </c>
      <c r="C28" s="4" t="s">
        <v>19</v>
      </c>
    </row>
    <row r="29" spans="2:14">
      <c r="B29" s="3">
        <v>10</v>
      </c>
      <c r="C29" s="4" t="s">
        <v>19</v>
      </c>
    </row>
    <row r="30" spans="2:14">
      <c r="B30" s="3">
        <v>11</v>
      </c>
      <c r="C30" s="4" t="s">
        <v>19</v>
      </c>
    </row>
    <row r="31" spans="2:14">
      <c r="B31" s="3">
        <v>12</v>
      </c>
      <c r="C31" s="4" t="s">
        <v>19</v>
      </c>
    </row>
    <row r="32" spans="2:14">
      <c r="B32" s="3">
        <v>13</v>
      </c>
      <c r="C32" s="4" t="s">
        <v>19</v>
      </c>
    </row>
    <row r="33" spans="2:14">
      <c r="B33" s="3">
        <v>14</v>
      </c>
      <c r="C33" t="s">
        <v>29</v>
      </c>
      <c r="D33" t="s">
        <v>17</v>
      </c>
    </row>
    <row r="34" spans="2:14">
      <c r="B34" s="3">
        <v>15</v>
      </c>
      <c r="C34" t="s">
        <v>28</v>
      </c>
      <c r="D34" t="s">
        <v>15</v>
      </c>
    </row>
    <row r="36" spans="2:14">
      <c r="B36" s="114" t="s">
        <v>25</v>
      </c>
    </row>
    <row r="37" spans="2:14">
      <c r="B37" s="114"/>
    </row>
    <row r="38" spans="2:14" ht="15.75" thickBot="1">
      <c r="B38" s="118" t="s">
        <v>26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</row>
    <row r="39" spans="2:14">
      <c r="B39" t="s">
        <v>27</v>
      </c>
    </row>
    <row r="41" spans="2:14">
      <c r="B41" s="114" t="s">
        <v>278</v>
      </c>
    </row>
    <row r="43" spans="2:14" ht="15.75" thickBot="1">
      <c r="B43" s="118" t="s">
        <v>279</v>
      </c>
      <c r="C43" s="157" t="s">
        <v>11</v>
      </c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</row>
    <row r="44" spans="2:14">
      <c r="B44" s="120" t="s">
        <v>280</v>
      </c>
      <c r="C44" t="s">
        <v>281</v>
      </c>
    </row>
    <row r="45" spans="2:14">
      <c r="B45" s="120" t="s">
        <v>282</v>
      </c>
      <c r="C45" t="s">
        <v>283</v>
      </c>
    </row>
    <row r="46" spans="2:14">
      <c r="B46" s="120" t="s">
        <v>284</v>
      </c>
      <c r="C46" t="s">
        <v>285</v>
      </c>
    </row>
    <row r="47" spans="2:14">
      <c r="B47" s="120" t="s">
        <v>286</v>
      </c>
      <c r="C47" t="s">
        <v>287</v>
      </c>
    </row>
    <row r="48" spans="2:14">
      <c r="B48" s="120" t="s">
        <v>288</v>
      </c>
      <c r="C48" t="s">
        <v>289</v>
      </c>
    </row>
    <row r="49" spans="2:14">
      <c r="B49" s="120" t="s">
        <v>290</v>
      </c>
      <c r="C49" t="s">
        <v>311</v>
      </c>
    </row>
    <row r="50" spans="2:14">
      <c r="B50" s="120" t="s">
        <v>291</v>
      </c>
      <c r="C50" t="s">
        <v>312</v>
      </c>
    </row>
    <row r="51" spans="2:14">
      <c r="B51" s="120" t="s">
        <v>292</v>
      </c>
      <c r="C51" t="s">
        <v>293</v>
      </c>
    </row>
    <row r="52" spans="2:14">
      <c r="B52" s="120" t="s">
        <v>294</v>
      </c>
      <c r="C52" t="s">
        <v>295</v>
      </c>
    </row>
    <row r="53" spans="2:14">
      <c r="B53" s="120" t="s">
        <v>296</v>
      </c>
      <c r="C53" t="s">
        <v>297</v>
      </c>
    </row>
    <row r="54" spans="2:14">
      <c r="B54" s="120" t="s">
        <v>298</v>
      </c>
      <c r="C54" t="s">
        <v>299</v>
      </c>
    </row>
    <row r="55" spans="2:14">
      <c r="B55" s="120" t="s">
        <v>300</v>
      </c>
      <c r="C55" t="s">
        <v>301</v>
      </c>
    </row>
    <row r="56" spans="2:14">
      <c r="B56" s="120" t="s">
        <v>302</v>
      </c>
      <c r="C56" t="s">
        <v>303</v>
      </c>
    </row>
    <row r="57" spans="2:14">
      <c r="B57" s="142" t="s">
        <v>304</v>
      </c>
      <c r="C57" s="143" t="s">
        <v>305</v>
      </c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</row>
    <row r="58" spans="2:14">
      <c r="B58" s="120" t="s">
        <v>313</v>
      </c>
      <c r="C58" s="133" t="s">
        <v>315</v>
      </c>
    </row>
    <row r="60" spans="2:14">
      <c r="B60" s="121" t="s">
        <v>306</v>
      </c>
    </row>
    <row r="73" spans="4:16">
      <c r="D73" s="158" t="s">
        <v>93</v>
      </c>
      <c r="E73" s="159"/>
      <c r="F73" s="159"/>
      <c r="G73" s="159" t="s">
        <v>84</v>
      </c>
      <c r="H73" s="159"/>
      <c r="I73" s="159">
        <f>SUM(N73:N74)</f>
        <v>1</v>
      </c>
      <c r="J73" s="159"/>
      <c r="K73" s="159"/>
      <c r="P73" t="s">
        <v>143</v>
      </c>
    </row>
    <row r="74" spans="4:16">
      <c r="D74" s="158"/>
      <c r="E74" s="159"/>
      <c r="F74" s="159"/>
      <c r="G74" s="159"/>
      <c r="H74" s="159"/>
      <c r="I74" s="159"/>
      <c r="J74" s="159"/>
      <c r="K74" s="159"/>
      <c r="L74" t="s">
        <v>273</v>
      </c>
      <c r="M74">
        <v>1</v>
      </c>
      <c r="N74">
        <v>1</v>
      </c>
      <c r="O74" t="s">
        <v>290</v>
      </c>
      <c r="P74" t="s">
        <v>316</v>
      </c>
    </row>
    <row r="98" spans="2:16">
      <c r="B98" s="162" t="s">
        <v>28</v>
      </c>
      <c r="C98" s="160">
        <v>15</v>
      </c>
      <c r="D98" s="164" t="s">
        <v>317</v>
      </c>
      <c r="E98" s="160"/>
      <c r="F98" s="160" t="str">
        <f>CONCATENATE("0x",DEC2HEX(32*C$98+E98,3))</f>
        <v>0x1E0</v>
      </c>
      <c r="G98" s="160" t="s">
        <v>44</v>
      </c>
      <c r="H98" s="160">
        <v>0</v>
      </c>
      <c r="I98" s="160">
        <f>SUM(N98:N99)</f>
        <v>7</v>
      </c>
      <c r="J98" s="160"/>
      <c r="K98" s="160"/>
      <c r="L98" s="6"/>
      <c r="M98" s="6"/>
      <c r="N98" s="6"/>
      <c r="O98" s="6"/>
      <c r="P98" s="6" t="s">
        <v>320</v>
      </c>
    </row>
    <row r="99" spans="2:16" ht="15.75" thickBot="1">
      <c r="B99" s="163"/>
      <c r="C99" s="161"/>
      <c r="D99" s="165"/>
      <c r="E99" s="161"/>
      <c r="F99" s="161"/>
      <c r="G99" s="161"/>
      <c r="H99" s="161"/>
      <c r="I99" s="161"/>
      <c r="J99" s="161"/>
      <c r="K99" s="161"/>
      <c r="L99" s="148" t="s">
        <v>318</v>
      </c>
      <c r="M99" s="148">
        <v>1</v>
      </c>
      <c r="N99" s="148">
        <v>7</v>
      </c>
      <c r="O99" s="148" t="s">
        <v>313</v>
      </c>
      <c r="P99" s="148" t="s">
        <v>319</v>
      </c>
    </row>
  </sheetData>
  <mergeCells count="26">
    <mergeCell ref="I98:I99"/>
    <mergeCell ref="J98:J99"/>
    <mergeCell ref="K98:K99"/>
    <mergeCell ref="C98:C99"/>
    <mergeCell ref="B98:B99"/>
    <mergeCell ref="D98:D99"/>
    <mergeCell ref="E98:E99"/>
    <mergeCell ref="F98:F99"/>
    <mergeCell ref="G98:G99"/>
    <mergeCell ref="H98:H99"/>
    <mergeCell ref="C43:N43"/>
    <mergeCell ref="D73:D74"/>
    <mergeCell ref="E73:E74"/>
    <mergeCell ref="F73:F74"/>
    <mergeCell ref="G73:G74"/>
    <mergeCell ref="H73:H74"/>
    <mergeCell ref="I73:I74"/>
    <mergeCell ref="J73:J74"/>
    <mergeCell ref="K73:K74"/>
    <mergeCell ref="B3:J3"/>
    <mergeCell ref="J13:K13"/>
    <mergeCell ref="D4:N4"/>
    <mergeCell ref="B6:C6"/>
    <mergeCell ref="D6:E6"/>
    <mergeCell ref="F6:I6"/>
    <mergeCell ref="J6:N6"/>
  </mergeCells>
  <phoneticPr fontId="15" type="noConversion"/>
  <pageMargins left="0.25" right="0.25" top="0.75" bottom="0.75" header="0.3" footer="0.3"/>
  <pageSetup paperSize="9" scale="82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IW107"/>
  <sheetViews>
    <sheetView showGridLines="0" zoomScaleSheetLayoutView="55" workbookViewId="0">
      <pane ySplit="4" topLeftCell="A71" activePane="bottomLeft" state="frozenSplit"/>
      <selection activeCell="I48" sqref="I48"/>
      <selection pane="bottomLeft" activeCell="D89" sqref="D89:D90"/>
    </sheetView>
  </sheetViews>
  <sheetFormatPr defaultColWidth="9.140625" defaultRowHeight="15"/>
  <cols>
    <col min="1" max="1" width="2.85546875" customWidth="1"/>
    <col min="2" max="2" width="11.7109375" customWidth="1"/>
    <col min="3" max="3" width="5.7109375" style="1" customWidth="1"/>
    <col min="4" max="4" width="29.140625" customWidth="1"/>
    <col min="5" max="5" width="5.7109375" style="1" customWidth="1"/>
    <col min="6" max="6" width="10" customWidth="1"/>
    <col min="8" max="8" width="12" customWidth="1"/>
    <col min="9" max="9" width="11" customWidth="1"/>
    <col min="10" max="10" width="10.28515625" customWidth="1"/>
    <col min="11" max="11" width="10.28515625" style="9" customWidth="1"/>
    <col min="12" max="12" width="22.140625" customWidth="1"/>
    <col min="13" max="14" width="9.140625" style="1"/>
    <col min="15" max="15" width="8.42578125" style="19" customWidth="1"/>
    <col min="16" max="16" width="63.7109375" style="5" customWidth="1"/>
  </cols>
  <sheetData>
    <row r="1" spans="1:16" ht="33" customHeight="1">
      <c r="B1" s="253" t="s">
        <v>198</v>
      </c>
      <c r="C1" s="253"/>
      <c r="D1" s="253"/>
      <c r="E1" s="253"/>
      <c r="F1" s="253"/>
      <c r="G1" s="253"/>
      <c r="H1" s="253"/>
      <c r="I1" s="243" t="s">
        <v>145</v>
      </c>
      <c r="J1" s="243"/>
      <c r="K1" s="243"/>
      <c r="L1" s="243"/>
      <c r="M1" s="243"/>
      <c r="N1" s="243"/>
      <c r="O1" s="243"/>
      <c r="P1" s="243"/>
    </row>
    <row r="2" spans="1:16">
      <c r="B2" s="5"/>
      <c r="D2" s="5"/>
    </row>
    <row r="3" spans="1:16">
      <c r="A3" s="6"/>
      <c r="B3" s="211" t="s">
        <v>0</v>
      </c>
      <c r="C3" s="211"/>
      <c r="D3" s="212" t="s">
        <v>38</v>
      </c>
      <c r="E3" s="213"/>
      <c r="F3" s="215" t="s">
        <v>37</v>
      </c>
      <c r="G3" s="215" t="s">
        <v>43</v>
      </c>
      <c r="H3" s="215" t="s">
        <v>88</v>
      </c>
      <c r="I3" s="215" t="s">
        <v>45</v>
      </c>
      <c r="J3" s="245" t="s">
        <v>82</v>
      </c>
      <c r="K3" s="215" t="s">
        <v>110</v>
      </c>
      <c r="L3" s="249" t="s">
        <v>40</v>
      </c>
      <c r="M3" s="250"/>
      <c r="N3" s="250"/>
      <c r="O3" s="250"/>
      <c r="P3" s="251"/>
    </row>
    <row r="4" spans="1:16" ht="15.75" thickBot="1">
      <c r="A4" s="6"/>
      <c r="B4" s="37" t="s">
        <v>10</v>
      </c>
      <c r="C4" s="38" t="s">
        <v>36</v>
      </c>
      <c r="D4" s="37" t="s">
        <v>10</v>
      </c>
      <c r="E4" s="38" t="s">
        <v>36</v>
      </c>
      <c r="F4" s="216"/>
      <c r="G4" s="217"/>
      <c r="H4" s="216"/>
      <c r="I4" s="216"/>
      <c r="J4" s="246"/>
      <c r="K4" s="216"/>
      <c r="L4" s="37" t="s">
        <v>41</v>
      </c>
      <c r="M4" s="38" t="s">
        <v>42</v>
      </c>
      <c r="N4" s="38" t="s">
        <v>39</v>
      </c>
      <c r="O4" s="39" t="s">
        <v>277</v>
      </c>
      <c r="P4" s="40" t="s">
        <v>11</v>
      </c>
    </row>
    <row r="5" spans="1:16" s="34" customFormat="1">
      <c r="B5" s="219" t="s">
        <v>35</v>
      </c>
      <c r="C5" s="222">
        <v>0</v>
      </c>
      <c r="D5" s="214" t="s">
        <v>93</v>
      </c>
      <c r="E5" s="210">
        <v>0</v>
      </c>
      <c r="F5" s="223" t="str">
        <f>CONCATENATE("0x",DEC2HEX(32*C$5+E5,3))</f>
        <v>0x000</v>
      </c>
      <c r="G5" s="210" t="s">
        <v>84</v>
      </c>
      <c r="H5" s="210">
        <v>20</v>
      </c>
      <c r="I5" s="218">
        <f>SUM(N5:N8)</f>
        <v>5</v>
      </c>
      <c r="J5" s="248">
        <f>CEILING(('CAN Protocol'!$D$4+'CAN Messages Table'!I5:I6*8)*CAN_Bit_stuffing_ratio,1)</f>
        <v>101</v>
      </c>
      <c r="K5" s="244">
        <f>J5*H5/(8*(CAN_Bus_speed*1000/8))</f>
        <v>1.6160000000000001E-2</v>
      </c>
      <c r="L5" s="42" t="s">
        <v>125</v>
      </c>
      <c r="M5" s="43">
        <v>0</v>
      </c>
      <c r="N5" s="43">
        <v>1</v>
      </c>
      <c r="O5" s="122" t="s">
        <v>290</v>
      </c>
      <c r="P5" s="44" t="s">
        <v>126</v>
      </c>
    </row>
    <row r="6" spans="1:16" s="34" customFormat="1">
      <c r="B6" s="220"/>
      <c r="C6" s="184"/>
      <c r="D6" s="178"/>
      <c r="E6" s="168"/>
      <c r="F6" s="179"/>
      <c r="G6" s="168"/>
      <c r="H6" s="168"/>
      <c r="I6" s="169"/>
      <c r="J6" s="170"/>
      <c r="K6" s="167"/>
      <c r="L6" s="45" t="s">
        <v>127</v>
      </c>
      <c r="M6" s="46">
        <v>1</v>
      </c>
      <c r="N6" s="46">
        <v>2</v>
      </c>
      <c r="O6" s="123" t="s">
        <v>291</v>
      </c>
      <c r="P6" s="47" t="s">
        <v>128</v>
      </c>
    </row>
    <row r="7" spans="1:16" s="34" customFormat="1">
      <c r="B7" s="220"/>
      <c r="C7" s="184"/>
      <c r="D7" s="178"/>
      <c r="E7" s="168"/>
      <c r="F7" s="179"/>
      <c r="G7" s="168"/>
      <c r="H7" s="168"/>
      <c r="I7" s="169"/>
      <c r="J7" s="170"/>
      <c r="K7" s="167"/>
      <c r="L7" s="45" t="s">
        <v>129</v>
      </c>
      <c r="M7" s="46">
        <v>3</v>
      </c>
      <c r="N7" s="46">
        <v>1</v>
      </c>
      <c r="O7" s="123" t="s">
        <v>290</v>
      </c>
      <c r="P7" s="47" t="s">
        <v>130</v>
      </c>
    </row>
    <row r="8" spans="1:16" s="34" customFormat="1">
      <c r="B8" s="220"/>
      <c r="C8" s="184"/>
      <c r="D8" s="178"/>
      <c r="E8" s="168"/>
      <c r="F8" s="179"/>
      <c r="G8" s="168"/>
      <c r="H8" s="168"/>
      <c r="I8" s="169"/>
      <c r="J8" s="170"/>
      <c r="K8" s="167"/>
      <c r="L8" s="45" t="s">
        <v>89</v>
      </c>
      <c r="M8" s="46">
        <v>4</v>
      </c>
      <c r="N8" s="46">
        <v>1</v>
      </c>
      <c r="O8" s="123" t="s">
        <v>280</v>
      </c>
      <c r="P8" s="47" t="s">
        <v>90</v>
      </c>
    </row>
    <row r="9" spans="1:16" s="34" customFormat="1" ht="15.75" thickBot="1">
      <c r="B9" s="221"/>
      <c r="C9" s="185"/>
      <c r="D9" s="104" t="s">
        <v>85</v>
      </c>
      <c r="E9" s="73">
        <v>1</v>
      </c>
      <c r="F9" s="101" t="str">
        <f>CONCATENATE("0x",DEC2HEX(32*C$5+E9,3))</f>
        <v>0x001</v>
      </c>
      <c r="G9" s="73" t="s">
        <v>44</v>
      </c>
      <c r="H9" s="73">
        <v>0</v>
      </c>
      <c r="I9" s="102">
        <f>N9</f>
        <v>1</v>
      </c>
      <c r="J9" s="82">
        <f>CEILING(('CAN Protocol'!$D$4+'CAN Messages Table'!I9:I9*8)*CAN_Bit_stuffing_ratio,1)</f>
        <v>63</v>
      </c>
      <c r="K9" s="83">
        <f>J9*H9/(8*(CAN_Bus_speed*1000/8))</f>
        <v>0</v>
      </c>
      <c r="L9" s="103" t="s">
        <v>86</v>
      </c>
      <c r="M9" s="73">
        <v>0</v>
      </c>
      <c r="N9" s="73">
        <v>1</v>
      </c>
      <c r="O9" s="124" t="s">
        <v>290</v>
      </c>
      <c r="P9" s="74" t="s">
        <v>87</v>
      </c>
    </row>
    <row r="10" spans="1:16" s="33" customFormat="1" ht="15" customHeight="1">
      <c r="B10" s="186" t="s">
        <v>34</v>
      </c>
      <c r="C10" s="189">
        <v>1</v>
      </c>
      <c r="D10" s="134" t="s">
        <v>253</v>
      </c>
      <c r="E10" s="135">
        <v>0</v>
      </c>
      <c r="F10" s="136" t="str">
        <f>CONCATENATE("0x",DEC2HEX(32*$C$10+E10,3))</f>
        <v>0x020</v>
      </c>
      <c r="G10" s="135" t="s">
        <v>84</v>
      </c>
      <c r="H10" s="135">
        <v>20</v>
      </c>
      <c r="I10" s="137">
        <f>N10</f>
        <v>1</v>
      </c>
      <c r="J10" s="41">
        <f>CEILING(('CAN Protocol'!$D$4+'CAN Messages Table'!I10:I10*8)*CAN_Bit_stuffing_ratio,1)</f>
        <v>63</v>
      </c>
      <c r="K10" s="138">
        <f>J10*H10/(8*(CAN_Bus_speed*1000/8))</f>
        <v>1.008E-2</v>
      </c>
      <c r="L10" s="139" t="s">
        <v>251</v>
      </c>
      <c r="M10" s="135">
        <v>0</v>
      </c>
      <c r="N10" s="135">
        <v>1</v>
      </c>
      <c r="O10" s="140" t="s">
        <v>290</v>
      </c>
      <c r="P10" s="141" t="s">
        <v>252</v>
      </c>
    </row>
    <row r="11" spans="1:16" s="34" customFormat="1" ht="15.75" customHeight="1">
      <c r="B11" s="187"/>
      <c r="C11" s="190"/>
      <c r="D11" s="178" t="s">
        <v>254</v>
      </c>
      <c r="E11" s="168">
        <v>1</v>
      </c>
      <c r="F11" s="179" t="str">
        <f>CONCATENATE("0x",DEC2HEX(32*$C$10+E11,3))</f>
        <v>0x021</v>
      </c>
      <c r="G11" s="168" t="s">
        <v>84</v>
      </c>
      <c r="H11" s="168">
        <v>20</v>
      </c>
      <c r="I11" s="169">
        <f>SUM(N11:N12)</f>
        <v>2</v>
      </c>
      <c r="J11" s="170">
        <f>CEILING(('CAN Protocol'!$D$4+'CAN Messages Table'!I11:I11*8)*CAN_Bit_stuffing_ratio,1)</f>
        <v>72</v>
      </c>
      <c r="K11" s="167">
        <f>J11*H11/(8*(CAN_Bus_speed*1000/8))</f>
        <v>1.1520000000000001E-2</v>
      </c>
      <c r="L11" s="55" t="s">
        <v>307</v>
      </c>
      <c r="M11" s="46">
        <v>0</v>
      </c>
      <c r="N11" s="46">
        <v>1</v>
      </c>
      <c r="O11" s="123" t="s">
        <v>290</v>
      </c>
      <c r="P11" s="47" t="s">
        <v>308</v>
      </c>
    </row>
    <row r="12" spans="1:16" s="34" customFormat="1" ht="15.75" thickBot="1">
      <c r="B12" s="188"/>
      <c r="C12" s="191"/>
      <c r="D12" s="224"/>
      <c r="E12" s="255"/>
      <c r="F12" s="261"/>
      <c r="G12" s="255"/>
      <c r="H12" s="255"/>
      <c r="I12" s="256"/>
      <c r="J12" s="257"/>
      <c r="K12" s="171"/>
      <c r="L12" s="100" t="s">
        <v>309</v>
      </c>
      <c r="M12" s="73">
        <f>N11</f>
        <v>1</v>
      </c>
      <c r="N12" s="73">
        <v>1</v>
      </c>
      <c r="O12" s="124" t="s">
        <v>290</v>
      </c>
      <c r="P12" s="74" t="s">
        <v>310</v>
      </c>
    </row>
    <row r="13" spans="1:16" s="34" customFormat="1">
      <c r="B13" s="180" t="s">
        <v>33</v>
      </c>
      <c r="C13" s="183">
        <v>2</v>
      </c>
      <c r="D13" s="194" t="s">
        <v>93</v>
      </c>
      <c r="E13" s="195">
        <v>0</v>
      </c>
      <c r="F13" s="196" t="str">
        <f>CONCATENATE("0x",DEC2HEX(32*$C$13+E13,3))</f>
        <v>0x040</v>
      </c>
      <c r="G13" s="195" t="s">
        <v>84</v>
      </c>
      <c r="H13" s="195">
        <v>5</v>
      </c>
      <c r="I13" s="197">
        <f>SUM(N13:N14)</f>
        <v>3</v>
      </c>
      <c r="J13" s="198">
        <f>CEILING(('CAN Protocol'!$D$4+'CAN Messages Table'!I13:I13*8)*CAN_Bit_stuffing_ratio,1)</f>
        <v>82</v>
      </c>
      <c r="K13" s="166">
        <f>J13*H13/(8*(CAN_Bus_speed*1000/8))</f>
        <v>3.2799999999999999E-3</v>
      </c>
      <c r="L13" s="69" t="s">
        <v>265</v>
      </c>
      <c r="M13" s="70">
        <v>0</v>
      </c>
      <c r="N13" s="70">
        <v>1</v>
      </c>
      <c r="O13" s="125" t="s">
        <v>290</v>
      </c>
      <c r="P13" s="71" t="s">
        <v>266</v>
      </c>
    </row>
    <row r="14" spans="1:16" s="34" customFormat="1">
      <c r="B14" s="181"/>
      <c r="C14" s="184"/>
      <c r="D14" s="178"/>
      <c r="E14" s="168"/>
      <c r="F14" s="179"/>
      <c r="G14" s="168"/>
      <c r="H14" s="168"/>
      <c r="I14" s="169"/>
      <c r="J14" s="170"/>
      <c r="K14" s="167"/>
      <c r="L14" s="45" t="s">
        <v>267</v>
      </c>
      <c r="M14" s="46">
        <v>1</v>
      </c>
      <c r="N14" s="46">
        <v>2</v>
      </c>
      <c r="O14" s="123" t="s">
        <v>296</v>
      </c>
      <c r="P14" s="47" t="s">
        <v>269</v>
      </c>
    </row>
    <row r="15" spans="1:16" s="34" customFormat="1">
      <c r="B15" s="181"/>
      <c r="C15" s="184"/>
      <c r="D15" s="106" t="s">
        <v>85</v>
      </c>
      <c r="E15" s="51">
        <v>1</v>
      </c>
      <c r="F15" s="52" t="str">
        <f>CONCATENATE("0x",DEC2HEX(32*C$13+E15,3))</f>
        <v>0x041</v>
      </c>
      <c r="G15" s="53" t="s">
        <v>44</v>
      </c>
      <c r="H15" s="53">
        <v>0</v>
      </c>
      <c r="I15" s="54">
        <f>SUM(N15:N15)</f>
        <v>1</v>
      </c>
      <c r="J15" s="49">
        <f>CEILING(('CAN Protocol'!$D$4+'CAN Messages Table'!I15:I15*8)*CAN_Bit_stuffing_ratio,1)</f>
        <v>63</v>
      </c>
      <c r="K15" s="50">
        <f>J15*H15/(8*(CAN_Bus_speed*1000/8))</f>
        <v>0</v>
      </c>
      <c r="L15" s="45" t="s">
        <v>267</v>
      </c>
      <c r="M15" s="46">
        <v>0</v>
      </c>
      <c r="N15" s="46">
        <v>1</v>
      </c>
      <c r="O15" s="123" t="s">
        <v>290</v>
      </c>
      <c r="P15" s="47" t="s">
        <v>268</v>
      </c>
    </row>
    <row r="16" spans="1:16" s="34" customFormat="1">
      <c r="B16" s="181"/>
      <c r="C16" s="184"/>
      <c r="D16" s="178" t="s">
        <v>255</v>
      </c>
      <c r="E16" s="168">
        <v>2</v>
      </c>
      <c r="F16" s="179" t="str">
        <f>CONCATENATE("0x",DEC2HEX(32*$C$13+E16,3))</f>
        <v>0x042</v>
      </c>
      <c r="G16" s="168" t="s">
        <v>84</v>
      </c>
      <c r="H16" s="168">
        <v>10</v>
      </c>
      <c r="I16" s="169">
        <f>SUM(N16:N18)</f>
        <v>6</v>
      </c>
      <c r="J16" s="170">
        <f>CEILING(('CAN Protocol'!$D$4+'CAN Messages Table'!I16:I16*8)*CAN_Bit_stuffing_ratio,1)</f>
        <v>111</v>
      </c>
      <c r="K16" s="167">
        <f>J16*H16/(8*(CAN_Bus_speed*1000/8))</f>
        <v>8.8800000000000007E-3</v>
      </c>
      <c r="L16" s="55" t="s">
        <v>94</v>
      </c>
      <c r="M16" s="46">
        <v>0</v>
      </c>
      <c r="N16" s="46">
        <v>2</v>
      </c>
      <c r="O16" s="123" t="s">
        <v>284</v>
      </c>
      <c r="P16" s="47" t="s">
        <v>179</v>
      </c>
    </row>
    <row r="17" spans="2:16" s="34" customFormat="1">
      <c r="B17" s="181"/>
      <c r="C17" s="184"/>
      <c r="D17" s="178"/>
      <c r="E17" s="168"/>
      <c r="F17" s="179"/>
      <c r="G17" s="168"/>
      <c r="H17" s="168"/>
      <c r="I17" s="169"/>
      <c r="J17" s="170"/>
      <c r="K17" s="167"/>
      <c r="L17" s="55" t="s">
        <v>131</v>
      </c>
      <c r="M17" s="46">
        <v>2</v>
      </c>
      <c r="N17" s="46">
        <v>2</v>
      </c>
      <c r="O17" s="123" t="s">
        <v>284</v>
      </c>
      <c r="P17" s="47" t="s">
        <v>180</v>
      </c>
    </row>
    <row r="18" spans="2:16" s="34" customFormat="1">
      <c r="B18" s="181"/>
      <c r="C18" s="184"/>
      <c r="D18" s="178"/>
      <c r="E18" s="168"/>
      <c r="F18" s="179"/>
      <c r="G18" s="168"/>
      <c r="H18" s="168"/>
      <c r="I18" s="169"/>
      <c r="J18" s="170"/>
      <c r="K18" s="167"/>
      <c r="L18" s="55" t="s">
        <v>95</v>
      </c>
      <c r="M18" s="46">
        <v>4</v>
      </c>
      <c r="N18" s="46">
        <v>2</v>
      </c>
      <c r="O18" s="123" t="s">
        <v>284</v>
      </c>
      <c r="P18" s="47" t="s">
        <v>257</v>
      </c>
    </row>
    <row r="19" spans="2:16" s="34" customFormat="1">
      <c r="B19" s="181"/>
      <c r="C19" s="184"/>
      <c r="D19" s="178" t="s">
        <v>256</v>
      </c>
      <c r="E19" s="168">
        <v>3</v>
      </c>
      <c r="F19" s="179" t="str">
        <f>CONCATENATE("0x",DEC2HEX(32*$C$13+E19,3))</f>
        <v>0x043</v>
      </c>
      <c r="G19" s="168" t="s">
        <v>84</v>
      </c>
      <c r="H19" s="168">
        <v>10</v>
      </c>
      <c r="I19" s="169">
        <f>SUM(N19:N20)</f>
        <v>4</v>
      </c>
      <c r="J19" s="170">
        <f>CEILING(('CAN Protocol'!$D$4+'CAN Messages Table'!I19:I19*8)*CAN_Bit_stuffing_ratio,1)</f>
        <v>92</v>
      </c>
      <c r="K19" s="167">
        <f>J19*H19/(8*(CAN_Bus_speed*1000/8))</f>
        <v>7.3600000000000002E-3</v>
      </c>
      <c r="L19" s="55" t="s">
        <v>258</v>
      </c>
      <c r="M19" s="46">
        <v>0</v>
      </c>
      <c r="N19" s="46">
        <v>2</v>
      </c>
      <c r="O19" s="123" t="s">
        <v>284</v>
      </c>
      <c r="P19" s="47" t="s">
        <v>259</v>
      </c>
    </row>
    <row r="20" spans="2:16" s="34" customFormat="1">
      <c r="B20" s="181"/>
      <c r="C20" s="184"/>
      <c r="D20" s="178"/>
      <c r="E20" s="168"/>
      <c r="F20" s="179"/>
      <c r="G20" s="168"/>
      <c r="H20" s="168"/>
      <c r="I20" s="169"/>
      <c r="J20" s="170"/>
      <c r="K20" s="167"/>
      <c r="L20" s="55" t="s">
        <v>95</v>
      </c>
      <c r="M20" s="46">
        <v>2</v>
      </c>
      <c r="N20" s="46">
        <v>2</v>
      </c>
      <c r="O20" s="123" t="s">
        <v>284</v>
      </c>
      <c r="P20" s="47" t="s">
        <v>181</v>
      </c>
    </row>
    <row r="21" spans="2:16" s="34" customFormat="1">
      <c r="B21" s="181"/>
      <c r="C21" s="184"/>
      <c r="D21" s="178" t="s">
        <v>260</v>
      </c>
      <c r="E21" s="168">
        <v>4</v>
      </c>
      <c r="F21" s="179" t="str">
        <f>CONCATENATE("0x",DEC2HEX(32*$C$13+E21,3))</f>
        <v>0x044</v>
      </c>
      <c r="G21" s="168" t="s">
        <v>84</v>
      </c>
      <c r="H21" s="168">
        <v>10</v>
      </c>
      <c r="I21" s="169">
        <f>SUM(N21:N23)</f>
        <v>6</v>
      </c>
      <c r="J21" s="170">
        <f>CEILING(('CAN Protocol'!$D$4+'CAN Messages Table'!I21:I21*8)*CAN_Bit_stuffing_ratio,1)</f>
        <v>111</v>
      </c>
      <c r="K21" s="167">
        <f>J21*H21/(8*(CAN_Bus_speed*1000/8))</f>
        <v>8.8800000000000007E-3</v>
      </c>
      <c r="L21" s="55" t="s">
        <v>94</v>
      </c>
      <c r="M21" s="46">
        <v>0</v>
      </c>
      <c r="N21" s="46">
        <v>2</v>
      </c>
      <c r="O21" s="123" t="s">
        <v>284</v>
      </c>
      <c r="P21" s="47" t="s">
        <v>182</v>
      </c>
    </row>
    <row r="22" spans="2:16" s="34" customFormat="1">
      <c r="B22" s="181"/>
      <c r="C22" s="184"/>
      <c r="D22" s="178"/>
      <c r="E22" s="168"/>
      <c r="F22" s="179"/>
      <c r="G22" s="168"/>
      <c r="H22" s="168"/>
      <c r="I22" s="169"/>
      <c r="J22" s="170"/>
      <c r="K22" s="167"/>
      <c r="L22" s="55" t="s">
        <v>131</v>
      </c>
      <c r="M22" s="46">
        <v>2</v>
      </c>
      <c r="N22" s="46">
        <v>2</v>
      </c>
      <c r="O22" s="123" t="s">
        <v>284</v>
      </c>
      <c r="P22" s="47" t="s">
        <v>183</v>
      </c>
    </row>
    <row r="23" spans="2:16" s="34" customFormat="1">
      <c r="B23" s="181"/>
      <c r="C23" s="184"/>
      <c r="D23" s="178"/>
      <c r="E23" s="168"/>
      <c r="F23" s="179"/>
      <c r="G23" s="168"/>
      <c r="H23" s="168"/>
      <c r="I23" s="169"/>
      <c r="J23" s="170"/>
      <c r="K23" s="167"/>
      <c r="L23" s="55" t="s">
        <v>95</v>
      </c>
      <c r="M23" s="46">
        <v>4</v>
      </c>
      <c r="N23" s="46">
        <v>2</v>
      </c>
      <c r="O23" s="123" t="s">
        <v>284</v>
      </c>
      <c r="P23" s="47" t="s">
        <v>262</v>
      </c>
    </row>
    <row r="24" spans="2:16" s="34" customFormat="1">
      <c r="B24" s="181"/>
      <c r="C24" s="184"/>
      <c r="D24" s="178" t="s">
        <v>261</v>
      </c>
      <c r="E24" s="168">
        <v>5</v>
      </c>
      <c r="F24" s="179" t="str">
        <f>CONCATENATE("0x",DEC2HEX(32*$C$13+E24,3))</f>
        <v>0x045</v>
      </c>
      <c r="G24" s="168" t="s">
        <v>84</v>
      </c>
      <c r="H24" s="168">
        <v>10</v>
      </c>
      <c r="I24" s="169">
        <f>SUM(N24:N25)</f>
        <v>4</v>
      </c>
      <c r="J24" s="170">
        <f>CEILING(('CAN Protocol'!$D$4+'CAN Messages Table'!I24:I24*8)*CAN_Bit_stuffing_ratio,1)</f>
        <v>92</v>
      </c>
      <c r="K24" s="167">
        <f>J24*H24/(8*(CAN_Bus_speed*1000/8))</f>
        <v>7.3600000000000002E-3</v>
      </c>
      <c r="L24" s="55" t="s">
        <v>258</v>
      </c>
      <c r="M24" s="46">
        <v>0</v>
      </c>
      <c r="N24" s="46">
        <v>2</v>
      </c>
      <c r="O24" s="123" t="s">
        <v>284</v>
      </c>
      <c r="P24" s="47" t="s">
        <v>263</v>
      </c>
    </row>
    <row r="25" spans="2:16" s="34" customFormat="1">
      <c r="B25" s="181"/>
      <c r="C25" s="184"/>
      <c r="D25" s="178"/>
      <c r="E25" s="168"/>
      <c r="F25" s="179"/>
      <c r="G25" s="168"/>
      <c r="H25" s="168"/>
      <c r="I25" s="169"/>
      <c r="J25" s="170"/>
      <c r="K25" s="167"/>
      <c r="L25" s="55" t="s">
        <v>95</v>
      </c>
      <c r="M25" s="46">
        <v>2</v>
      </c>
      <c r="N25" s="46">
        <v>2</v>
      </c>
      <c r="O25" s="123" t="s">
        <v>284</v>
      </c>
      <c r="P25" s="47" t="s">
        <v>184</v>
      </c>
    </row>
    <row r="26" spans="2:16" s="34" customFormat="1">
      <c r="B26" s="181"/>
      <c r="C26" s="184"/>
      <c r="D26" s="178" t="s">
        <v>264</v>
      </c>
      <c r="E26" s="168">
        <v>6</v>
      </c>
      <c r="F26" s="179" t="str">
        <f>CONCATENATE("0x",DEC2HEX(32*$C$13+E26,3))</f>
        <v>0x046</v>
      </c>
      <c r="G26" s="168" t="s">
        <v>84</v>
      </c>
      <c r="H26" s="168">
        <v>5</v>
      </c>
      <c r="I26" s="169">
        <f>SUM(N26:N28)</f>
        <v>6</v>
      </c>
      <c r="J26" s="170">
        <f>CEILING(('CAN Protocol'!$D$4+'CAN Messages Table'!I26:I26*8)*CAN_Bit_stuffing_ratio,1)</f>
        <v>111</v>
      </c>
      <c r="K26" s="167">
        <f>J26*H26/(8*(CAN_Bus_speed*1000/8))</f>
        <v>4.4400000000000004E-3</v>
      </c>
      <c r="L26" s="55" t="s">
        <v>94</v>
      </c>
      <c r="M26" s="46">
        <v>0</v>
      </c>
      <c r="N26" s="46">
        <v>2</v>
      </c>
      <c r="O26" s="123" t="s">
        <v>284</v>
      </c>
      <c r="P26" s="47" t="s">
        <v>185</v>
      </c>
    </row>
    <row r="27" spans="2:16" s="34" customFormat="1">
      <c r="B27" s="181"/>
      <c r="C27" s="184"/>
      <c r="D27" s="178"/>
      <c r="E27" s="168"/>
      <c r="F27" s="179"/>
      <c r="G27" s="168"/>
      <c r="H27" s="168"/>
      <c r="I27" s="169"/>
      <c r="J27" s="170"/>
      <c r="K27" s="167"/>
      <c r="L27" s="55" t="s">
        <v>131</v>
      </c>
      <c r="M27" s="46">
        <v>2</v>
      </c>
      <c r="N27" s="46">
        <v>2</v>
      </c>
      <c r="O27" s="123" t="s">
        <v>284</v>
      </c>
      <c r="P27" s="47" t="s">
        <v>186</v>
      </c>
    </row>
    <row r="28" spans="2:16" s="34" customFormat="1" ht="15.75" thickBot="1">
      <c r="B28" s="182"/>
      <c r="C28" s="185"/>
      <c r="D28" s="224"/>
      <c r="E28" s="255"/>
      <c r="F28" s="261"/>
      <c r="G28" s="255"/>
      <c r="H28" s="255"/>
      <c r="I28" s="256"/>
      <c r="J28" s="257"/>
      <c r="K28" s="171"/>
      <c r="L28" s="100" t="s">
        <v>95</v>
      </c>
      <c r="M28" s="73">
        <v>4</v>
      </c>
      <c r="N28" s="73">
        <v>2</v>
      </c>
      <c r="O28" s="124" t="s">
        <v>284</v>
      </c>
      <c r="P28" s="74" t="s">
        <v>187</v>
      </c>
    </row>
    <row r="29" spans="2:16" s="34" customFormat="1">
      <c r="B29" s="207" t="s">
        <v>32</v>
      </c>
      <c r="C29" s="183">
        <v>3</v>
      </c>
      <c r="D29" s="194" t="s">
        <v>165</v>
      </c>
      <c r="E29" s="195">
        <v>0</v>
      </c>
      <c r="F29" s="196" t="str">
        <f>CONCATENATE("0x",DEC2HEX(32*$C$29+E29,3))</f>
        <v>0x060</v>
      </c>
      <c r="G29" s="195" t="s">
        <v>84</v>
      </c>
      <c r="H29" s="195">
        <v>20</v>
      </c>
      <c r="I29" s="197">
        <f>SUM(N29:N31)</f>
        <v>3</v>
      </c>
      <c r="J29" s="198">
        <f>CEILING(('CAN Protocol'!$D$4+'CAN Messages Table'!I29:I29*8)*CAN_Bit_stuffing_ratio,1)</f>
        <v>82</v>
      </c>
      <c r="K29" s="166">
        <f>J29*H29/(8*(CAN_Bus_speed*1000/8))</f>
        <v>1.312E-2</v>
      </c>
      <c r="L29" s="98" t="s">
        <v>132</v>
      </c>
      <c r="M29" s="99">
        <v>0</v>
      </c>
      <c r="N29" s="99">
        <v>1</v>
      </c>
      <c r="O29" s="126" t="s">
        <v>280</v>
      </c>
      <c r="P29" s="71" t="s">
        <v>133</v>
      </c>
    </row>
    <row r="30" spans="2:16" s="34" customFormat="1">
      <c r="B30" s="208"/>
      <c r="C30" s="184"/>
      <c r="D30" s="178"/>
      <c r="E30" s="168"/>
      <c r="F30" s="179"/>
      <c r="G30" s="168"/>
      <c r="H30" s="168"/>
      <c r="I30" s="169"/>
      <c r="J30" s="170"/>
      <c r="K30" s="167"/>
      <c r="L30" s="56" t="s">
        <v>158</v>
      </c>
      <c r="M30" s="51">
        <v>1</v>
      </c>
      <c r="N30" s="51">
        <v>1</v>
      </c>
      <c r="O30" s="127" t="s">
        <v>280</v>
      </c>
      <c r="P30" s="47" t="s">
        <v>172</v>
      </c>
    </row>
    <row r="31" spans="2:16" s="34" customFormat="1">
      <c r="B31" s="208"/>
      <c r="C31" s="184"/>
      <c r="D31" s="178"/>
      <c r="E31" s="168"/>
      <c r="F31" s="179"/>
      <c r="G31" s="168"/>
      <c r="H31" s="168"/>
      <c r="I31" s="169"/>
      <c r="J31" s="170"/>
      <c r="K31" s="167"/>
      <c r="L31" s="56" t="s">
        <v>159</v>
      </c>
      <c r="M31" s="51">
        <v>2</v>
      </c>
      <c r="N31" s="51">
        <v>1</v>
      </c>
      <c r="O31" s="127" t="s">
        <v>280</v>
      </c>
      <c r="P31" s="47" t="s">
        <v>173</v>
      </c>
    </row>
    <row r="32" spans="2:16" s="34" customFormat="1">
      <c r="B32" s="208"/>
      <c r="C32" s="184"/>
      <c r="D32" s="178" t="s">
        <v>160</v>
      </c>
      <c r="E32" s="168">
        <v>1</v>
      </c>
      <c r="F32" s="179" t="str">
        <f>CONCATENATE("0x",DEC2HEX(32*$C$29+E32,3))</f>
        <v>0x061</v>
      </c>
      <c r="G32" s="168" t="s">
        <v>84</v>
      </c>
      <c r="H32" s="168">
        <v>10</v>
      </c>
      <c r="I32" s="169">
        <f>SUM(N32:N34)</f>
        <v>6</v>
      </c>
      <c r="J32" s="170">
        <f>CEILING(('CAN Protocol'!$D$4+'CAN Messages Table'!I32:I32*8)*CAN_Bit_stuffing_ratio,1)</f>
        <v>111</v>
      </c>
      <c r="K32" s="167">
        <f>J32*H32/(8*(CAN_Bus_speed*1000/8))</f>
        <v>8.8800000000000007E-3</v>
      </c>
      <c r="L32" s="56" t="s">
        <v>94</v>
      </c>
      <c r="M32" s="51">
        <v>0</v>
      </c>
      <c r="N32" s="51">
        <v>2</v>
      </c>
      <c r="O32" s="127" t="s">
        <v>284</v>
      </c>
      <c r="P32" s="47" t="s">
        <v>112</v>
      </c>
    </row>
    <row r="33" spans="2:16" s="34" customFormat="1">
      <c r="B33" s="208"/>
      <c r="C33" s="184"/>
      <c r="D33" s="178"/>
      <c r="E33" s="168"/>
      <c r="F33" s="179"/>
      <c r="G33" s="168"/>
      <c r="H33" s="168"/>
      <c r="I33" s="169"/>
      <c r="J33" s="170"/>
      <c r="K33" s="167"/>
      <c r="L33" s="56" t="s">
        <v>131</v>
      </c>
      <c r="M33" s="51">
        <v>2</v>
      </c>
      <c r="N33" s="51">
        <v>2</v>
      </c>
      <c r="O33" s="127" t="s">
        <v>284</v>
      </c>
      <c r="P33" s="47" t="s">
        <v>113</v>
      </c>
    </row>
    <row r="34" spans="2:16" s="34" customFormat="1">
      <c r="B34" s="208"/>
      <c r="C34" s="184"/>
      <c r="D34" s="178"/>
      <c r="E34" s="168"/>
      <c r="F34" s="179"/>
      <c r="G34" s="168"/>
      <c r="H34" s="168"/>
      <c r="I34" s="169"/>
      <c r="J34" s="170"/>
      <c r="K34" s="167"/>
      <c r="L34" s="56" t="s">
        <v>95</v>
      </c>
      <c r="M34" s="51">
        <v>4</v>
      </c>
      <c r="N34" s="51">
        <v>2</v>
      </c>
      <c r="O34" s="127" t="s">
        <v>284</v>
      </c>
      <c r="P34" s="47" t="s">
        <v>114</v>
      </c>
    </row>
    <row r="35" spans="2:16" s="34" customFormat="1">
      <c r="B35" s="208"/>
      <c r="C35" s="184"/>
      <c r="D35" s="178" t="s">
        <v>161</v>
      </c>
      <c r="E35" s="168">
        <v>2</v>
      </c>
      <c r="F35" s="179" t="str">
        <f>CONCATENATE("0x",DEC2HEX(32*$C$29+E35,3))</f>
        <v>0x062</v>
      </c>
      <c r="G35" s="168" t="s">
        <v>84</v>
      </c>
      <c r="H35" s="168">
        <v>10</v>
      </c>
      <c r="I35" s="169">
        <f>SUM(N35:N36)</f>
        <v>4</v>
      </c>
      <c r="J35" s="170">
        <f>CEILING(('CAN Protocol'!$D$4+'CAN Messages Table'!I35:I35*8)*CAN_Bit_stuffing_ratio,1)</f>
        <v>92</v>
      </c>
      <c r="K35" s="167">
        <f>J35*H35/(8*(CAN_Bus_speed*1000/8))</f>
        <v>7.3600000000000002E-3</v>
      </c>
      <c r="L35" s="56" t="s">
        <v>115</v>
      </c>
      <c r="M35" s="51">
        <v>0</v>
      </c>
      <c r="N35" s="51">
        <v>2</v>
      </c>
      <c r="O35" s="127" t="s">
        <v>284</v>
      </c>
      <c r="P35" s="47" t="s">
        <v>117</v>
      </c>
    </row>
    <row r="36" spans="2:16" s="34" customFormat="1">
      <c r="B36" s="208"/>
      <c r="C36" s="184"/>
      <c r="D36" s="178"/>
      <c r="E36" s="168"/>
      <c r="F36" s="179"/>
      <c r="G36" s="168"/>
      <c r="H36" s="168"/>
      <c r="I36" s="169"/>
      <c r="J36" s="170"/>
      <c r="K36" s="167"/>
      <c r="L36" s="56" t="s">
        <v>116</v>
      </c>
      <c r="M36" s="51">
        <v>2</v>
      </c>
      <c r="N36" s="51">
        <v>2</v>
      </c>
      <c r="O36" s="127" t="s">
        <v>284</v>
      </c>
      <c r="P36" s="47" t="s">
        <v>118</v>
      </c>
    </row>
    <row r="37" spans="2:16" s="34" customFormat="1">
      <c r="B37" s="208"/>
      <c r="C37" s="184"/>
      <c r="D37" s="178" t="s">
        <v>162</v>
      </c>
      <c r="E37" s="168">
        <v>3</v>
      </c>
      <c r="F37" s="179" t="str">
        <f>CONCATENATE("0x",DEC2HEX(32*$C$29+E37,3))</f>
        <v>0x063</v>
      </c>
      <c r="G37" s="168" t="s">
        <v>84</v>
      </c>
      <c r="H37" s="168">
        <v>10</v>
      </c>
      <c r="I37" s="169">
        <f>SUM(N37:N38)</f>
        <v>4</v>
      </c>
      <c r="J37" s="170">
        <f>CEILING(('CAN Protocol'!$D$4+'CAN Messages Table'!I37:I37*8)*CAN_Bit_stuffing_ratio,1)</f>
        <v>92</v>
      </c>
      <c r="K37" s="167">
        <f>J37*H37/(8*(CAN_Bus_speed*1000/8))</f>
        <v>7.3600000000000002E-3</v>
      </c>
      <c r="L37" s="56" t="s">
        <v>119</v>
      </c>
      <c r="M37" s="51">
        <v>0</v>
      </c>
      <c r="N37" s="51">
        <v>2</v>
      </c>
      <c r="O37" s="127" t="s">
        <v>284</v>
      </c>
      <c r="P37" s="47" t="s">
        <v>121</v>
      </c>
    </row>
    <row r="38" spans="2:16" s="34" customFormat="1">
      <c r="B38" s="208"/>
      <c r="C38" s="184"/>
      <c r="D38" s="178"/>
      <c r="E38" s="168"/>
      <c r="F38" s="179"/>
      <c r="G38" s="168"/>
      <c r="H38" s="168"/>
      <c r="I38" s="169"/>
      <c r="J38" s="170"/>
      <c r="K38" s="167"/>
      <c r="L38" s="56" t="s">
        <v>120</v>
      </c>
      <c r="M38" s="51">
        <v>2</v>
      </c>
      <c r="N38" s="51">
        <v>2</v>
      </c>
      <c r="O38" s="127" t="s">
        <v>284</v>
      </c>
      <c r="P38" s="47" t="s">
        <v>122</v>
      </c>
    </row>
    <row r="39" spans="2:16" s="34" customFormat="1">
      <c r="B39" s="208"/>
      <c r="C39" s="184"/>
      <c r="D39" s="178" t="s">
        <v>163</v>
      </c>
      <c r="E39" s="168">
        <v>4</v>
      </c>
      <c r="F39" s="179" t="str">
        <f>CONCATENATE("0x",DEC2HEX(32*$C$29+E39,3))</f>
        <v>0x064</v>
      </c>
      <c r="G39" s="168" t="s">
        <v>44</v>
      </c>
      <c r="H39" s="168">
        <v>0</v>
      </c>
      <c r="I39" s="169">
        <f>SUM(N39:N42)</f>
        <v>8</v>
      </c>
      <c r="J39" s="170">
        <f>CEILING(('CAN Protocol'!$D$4+'CAN Messages Table'!I39:I39*8)*CAN_Bit_stuffing_ratio,1)</f>
        <v>130</v>
      </c>
      <c r="K39" s="167">
        <f>J39*H39/(8*(CAN_Bus_speed*1000/8))</f>
        <v>0</v>
      </c>
      <c r="L39" s="56" t="s">
        <v>97</v>
      </c>
      <c r="M39" s="51">
        <v>0</v>
      </c>
      <c r="N39" s="51">
        <v>2</v>
      </c>
      <c r="O39" s="127" t="s">
        <v>284</v>
      </c>
      <c r="P39" s="47" t="s">
        <v>99</v>
      </c>
    </row>
    <row r="40" spans="2:16" s="34" customFormat="1">
      <c r="B40" s="208"/>
      <c r="C40" s="184"/>
      <c r="D40" s="178"/>
      <c r="E40" s="168"/>
      <c r="F40" s="179"/>
      <c r="G40" s="168"/>
      <c r="H40" s="168"/>
      <c r="I40" s="169"/>
      <c r="J40" s="170"/>
      <c r="K40" s="167"/>
      <c r="L40" s="56" t="s">
        <v>98</v>
      </c>
      <c r="M40" s="51">
        <v>2</v>
      </c>
      <c r="N40" s="51">
        <v>2</v>
      </c>
      <c r="O40" s="127" t="s">
        <v>284</v>
      </c>
      <c r="P40" s="47" t="s">
        <v>100</v>
      </c>
    </row>
    <row r="41" spans="2:16" s="34" customFormat="1">
      <c r="B41" s="208"/>
      <c r="C41" s="184"/>
      <c r="D41" s="178"/>
      <c r="E41" s="168"/>
      <c r="F41" s="179"/>
      <c r="G41" s="168"/>
      <c r="H41" s="168"/>
      <c r="I41" s="169"/>
      <c r="J41" s="170"/>
      <c r="K41" s="167"/>
      <c r="L41" s="56" t="s">
        <v>103</v>
      </c>
      <c r="M41" s="51">
        <v>4</v>
      </c>
      <c r="N41" s="51">
        <v>2</v>
      </c>
      <c r="O41" s="127" t="s">
        <v>284</v>
      </c>
      <c r="P41" s="47" t="s">
        <v>101</v>
      </c>
    </row>
    <row r="42" spans="2:16" s="34" customFormat="1">
      <c r="B42" s="208"/>
      <c r="C42" s="184"/>
      <c r="D42" s="178"/>
      <c r="E42" s="168"/>
      <c r="F42" s="179"/>
      <c r="G42" s="168"/>
      <c r="H42" s="168"/>
      <c r="I42" s="169"/>
      <c r="J42" s="170"/>
      <c r="K42" s="167"/>
      <c r="L42" s="56" t="s">
        <v>104</v>
      </c>
      <c r="M42" s="51">
        <v>6</v>
      </c>
      <c r="N42" s="51">
        <v>2</v>
      </c>
      <c r="O42" s="127" t="s">
        <v>284</v>
      </c>
      <c r="P42" s="47" t="s">
        <v>102</v>
      </c>
    </row>
    <row r="43" spans="2:16" s="34" customFormat="1">
      <c r="B43" s="208"/>
      <c r="C43" s="184"/>
      <c r="D43" s="178" t="s">
        <v>164</v>
      </c>
      <c r="E43" s="168">
        <v>5</v>
      </c>
      <c r="F43" s="179" t="str">
        <f>CONCATENATE("0x",DEC2HEX(32*$C$29+E43,3))</f>
        <v>0x065</v>
      </c>
      <c r="G43" s="168" t="s">
        <v>44</v>
      </c>
      <c r="H43" s="168">
        <v>0</v>
      </c>
      <c r="I43" s="169">
        <f>SUM(N43:N45)</f>
        <v>6</v>
      </c>
      <c r="J43" s="170">
        <f>CEILING(('CAN Protocol'!$D$4+'CAN Messages Table'!I43:I43*8)*CAN_Bit_stuffing_ratio,1)</f>
        <v>111</v>
      </c>
      <c r="K43" s="167">
        <f>J43*H43/(8*(CAN_Bus_speed*1000/8))</f>
        <v>0</v>
      </c>
      <c r="L43" s="56" t="s">
        <v>96</v>
      </c>
      <c r="M43" s="51">
        <v>0</v>
      </c>
      <c r="N43" s="51">
        <v>2</v>
      </c>
      <c r="O43" s="127" t="s">
        <v>284</v>
      </c>
      <c r="P43" s="47" t="s">
        <v>106</v>
      </c>
    </row>
    <row r="44" spans="2:16" s="34" customFormat="1">
      <c r="B44" s="208"/>
      <c r="C44" s="184"/>
      <c r="D44" s="178"/>
      <c r="E44" s="168"/>
      <c r="F44" s="179"/>
      <c r="G44" s="168"/>
      <c r="H44" s="168"/>
      <c r="I44" s="169"/>
      <c r="J44" s="170"/>
      <c r="K44" s="167"/>
      <c r="L44" s="56" t="s">
        <v>105</v>
      </c>
      <c r="M44" s="51">
        <v>2</v>
      </c>
      <c r="N44" s="51">
        <v>2</v>
      </c>
      <c r="O44" s="127" t="s">
        <v>284</v>
      </c>
      <c r="P44" s="47" t="s">
        <v>107</v>
      </c>
    </row>
    <row r="45" spans="2:16" s="34" customFormat="1">
      <c r="B45" s="208"/>
      <c r="C45" s="184"/>
      <c r="D45" s="178"/>
      <c r="E45" s="168"/>
      <c r="F45" s="179"/>
      <c r="G45" s="168"/>
      <c r="H45" s="168"/>
      <c r="I45" s="169"/>
      <c r="J45" s="170"/>
      <c r="K45" s="167"/>
      <c r="L45" s="56" t="s">
        <v>108</v>
      </c>
      <c r="M45" s="51">
        <v>6</v>
      </c>
      <c r="N45" s="51">
        <v>2</v>
      </c>
      <c r="O45" s="127" t="s">
        <v>284</v>
      </c>
      <c r="P45" s="47" t="s">
        <v>109</v>
      </c>
    </row>
    <row r="46" spans="2:16" s="34" customFormat="1">
      <c r="B46" s="208"/>
      <c r="C46" s="184"/>
      <c r="D46" s="178" t="s">
        <v>85</v>
      </c>
      <c r="E46" s="168">
        <v>6</v>
      </c>
      <c r="F46" s="179" t="str">
        <f>CONCATENATE("0x",DEC2HEX(32*$C$29+E46,3))</f>
        <v>0x066</v>
      </c>
      <c r="G46" s="168" t="s">
        <v>84</v>
      </c>
      <c r="H46" s="168">
        <v>0</v>
      </c>
      <c r="I46" s="169">
        <f>SUM(N46:N50)</f>
        <v>7</v>
      </c>
      <c r="J46" s="170">
        <f>CEILING(('CAN Protocol'!$D$4+'CAN Messages Table'!I46:I46*8)*CAN_Bit_stuffing_ratio,1)</f>
        <v>120</v>
      </c>
      <c r="K46" s="167">
        <f>J46*H46/(8*(CAN_Bus_speed*1000/8))</f>
        <v>0</v>
      </c>
      <c r="L46" s="56" t="s">
        <v>132</v>
      </c>
      <c r="M46" s="51">
        <v>0</v>
      </c>
      <c r="N46" s="51">
        <v>1</v>
      </c>
      <c r="O46" s="127" t="s">
        <v>291</v>
      </c>
      <c r="P46" s="47" t="s">
        <v>134</v>
      </c>
    </row>
    <row r="47" spans="2:16" s="34" customFormat="1">
      <c r="B47" s="208"/>
      <c r="C47" s="184"/>
      <c r="D47" s="178"/>
      <c r="E47" s="168"/>
      <c r="F47" s="179"/>
      <c r="G47" s="168"/>
      <c r="H47" s="168"/>
      <c r="I47" s="169"/>
      <c r="J47" s="170"/>
      <c r="K47" s="167"/>
      <c r="L47" s="56" t="s">
        <v>177</v>
      </c>
      <c r="M47" s="51">
        <v>1</v>
      </c>
      <c r="N47" s="51">
        <v>1</v>
      </c>
      <c r="O47" s="127" t="s">
        <v>290</v>
      </c>
      <c r="P47" s="47" t="s">
        <v>178</v>
      </c>
    </row>
    <row r="48" spans="2:16" s="34" customFormat="1">
      <c r="B48" s="208"/>
      <c r="C48" s="184"/>
      <c r="D48" s="178"/>
      <c r="E48" s="168"/>
      <c r="F48" s="179"/>
      <c r="G48" s="168"/>
      <c r="H48" s="168"/>
      <c r="I48" s="169"/>
      <c r="J48" s="170"/>
      <c r="K48" s="167"/>
      <c r="L48" s="56" t="s">
        <v>135</v>
      </c>
      <c r="M48" s="51">
        <v>3</v>
      </c>
      <c r="N48" s="51">
        <v>2</v>
      </c>
      <c r="O48" s="127" t="s">
        <v>284</v>
      </c>
      <c r="P48" s="47" t="s">
        <v>136</v>
      </c>
    </row>
    <row r="49" spans="2:16" s="34" customFormat="1">
      <c r="B49" s="208"/>
      <c r="C49" s="184"/>
      <c r="D49" s="178"/>
      <c r="E49" s="168"/>
      <c r="F49" s="179"/>
      <c r="G49" s="168"/>
      <c r="H49" s="168"/>
      <c r="I49" s="169"/>
      <c r="J49" s="170"/>
      <c r="K49" s="167"/>
      <c r="L49" s="56" t="s">
        <v>137</v>
      </c>
      <c r="M49" s="51">
        <v>5</v>
      </c>
      <c r="N49" s="51">
        <v>2</v>
      </c>
      <c r="O49" s="127" t="s">
        <v>284</v>
      </c>
      <c r="P49" s="47" t="s">
        <v>138</v>
      </c>
    </row>
    <row r="50" spans="2:16" s="34" customFormat="1">
      <c r="B50" s="208"/>
      <c r="C50" s="184"/>
      <c r="D50" s="178"/>
      <c r="E50" s="168"/>
      <c r="F50" s="179"/>
      <c r="G50" s="168"/>
      <c r="H50" s="168"/>
      <c r="I50" s="169"/>
      <c r="J50" s="170"/>
      <c r="K50" s="167"/>
      <c r="L50" s="56" t="s">
        <v>157</v>
      </c>
      <c r="M50" s="51">
        <v>7</v>
      </c>
      <c r="N50" s="51">
        <v>1</v>
      </c>
      <c r="O50" s="127" t="s">
        <v>280</v>
      </c>
      <c r="P50" s="47" t="s">
        <v>169</v>
      </c>
    </row>
    <row r="51" spans="2:16" s="34" customFormat="1">
      <c r="B51" s="208"/>
      <c r="C51" s="184"/>
      <c r="D51" s="178" t="s">
        <v>166</v>
      </c>
      <c r="E51" s="168">
        <v>7</v>
      </c>
      <c r="F51" s="179" t="str">
        <f>CONCATENATE("0x",DEC2HEX(32*$C$29+E51,3))</f>
        <v>0x067</v>
      </c>
      <c r="G51" s="168" t="s">
        <v>44</v>
      </c>
      <c r="H51" s="168">
        <v>0</v>
      </c>
      <c r="I51" s="169">
        <f>SUM(N51:N52)</f>
        <v>4</v>
      </c>
      <c r="J51" s="170">
        <f>CEILING(('CAN Protocol'!$D$4+'CAN Messages Table'!I51:I51*8)*CAN_Bit_stuffing_ratio,1)</f>
        <v>92</v>
      </c>
      <c r="K51" s="167">
        <f>J51*H51/(8*(CAN_Bus_speed*1000/8))</f>
        <v>0</v>
      </c>
      <c r="L51" s="56" t="s">
        <v>94</v>
      </c>
      <c r="M51" s="51">
        <v>0</v>
      </c>
      <c r="N51" s="51">
        <v>2</v>
      </c>
      <c r="O51" s="127" t="s">
        <v>284</v>
      </c>
      <c r="P51" s="47" t="s">
        <v>167</v>
      </c>
    </row>
    <row r="52" spans="2:16" s="34" customFormat="1">
      <c r="B52" s="208"/>
      <c r="C52" s="184"/>
      <c r="D52" s="178"/>
      <c r="E52" s="168"/>
      <c r="F52" s="179"/>
      <c r="G52" s="168"/>
      <c r="H52" s="168"/>
      <c r="I52" s="169"/>
      <c r="J52" s="170"/>
      <c r="K52" s="167"/>
      <c r="L52" s="56" t="s">
        <v>131</v>
      </c>
      <c r="M52" s="51">
        <v>2</v>
      </c>
      <c r="N52" s="51">
        <v>2</v>
      </c>
      <c r="O52" s="127" t="s">
        <v>284</v>
      </c>
      <c r="P52" s="47" t="s">
        <v>168</v>
      </c>
    </row>
    <row r="53" spans="2:16" s="34" customFormat="1">
      <c r="B53" s="208"/>
      <c r="C53" s="184"/>
      <c r="D53" s="178" t="s">
        <v>176</v>
      </c>
      <c r="E53" s="168">
        <v>8</v>
      </c>
      <c r="F53" s="179" t="str">
        <f>CONCATENATE("0x",DEC2HEX(32*$C$29+E53,3))</f>
        <v>0x068</v>
      </c>
      <c r="G53" s="168" t="s">
        <v>44</v>
      </c>
      <c r="H53" s="168">
        <v>0</v>
      </c>
      <c r="I53" s="169">
        <f>SUM(N53:N54)</f>
        <v>4</v>
      </c>
      <c r="J53" s="170">
        <f>CEILING(('CAN Protocol'!$D$4+'CAN Messages Table'!I53:I53*8)*CAN_Bit_stuffing_ratio,1)</f>
        <v>92</v>
      </c>
      <c r="K53" s="167">
        <f>J53*H53/(8*(CAN_Bus_speed*1000/8))</f>
        <v>0</v>
      </c>
      <c r="L53" s="56" t="s">
        <v>115</v>
      </c>
      <c r="M53" s="51">
        <v>0</v>
      </c>
      <c r="N53" s="51">
        <v>2</v>
      </c>
      <c r="O53" s="127" t="s">
        <v>284</v>
      </c>
      <c r="P53" s="47" t="s">
        <v>174</v>
      </c>
    </row>
    <row r="54" spans="2:16" s="34" customFormat="1">
      <c r="B54" s="208"/>
      <c r="C54" s="184"/>
      <c r="D54" s="178"/>
      <c r="E54" s="168"/>
      <c r="F54" s="179"/>
      <c r="G54" s="168"/>
      <c r="H54" s="168"/>
      <c r="I54" s="169"/>
      <c r="J54" s="170"/>
      <c r="K54" s="167"/>
      <c r="L54" s="56" t="s">
        <v>116</v>
      </c>
      <c r="M54" s="51">
        <v>2</v>
      </c>
      <c r="N54" s="51">
        <v>2</v>
      </c>
      <c r="O54" s="127" t="s">
        <v>284</v>
      </c>
      <c r="P54" s="47" t="s">
        <v>175</v>
      </c>
    </row>
    <row r="55" spans="2:16" s="34" customFormat="1">
      <c r="B55" s="208"/>
      <c r="C55" s="184"/>
      <c r="D55" s="178" t="s">
        <v>154</v>
      </c>
      <c r="E55" s="168">
        <v>9</v>
      </c>
      <c r="F55" s="179" t="str">
        <f>CONCATENATE("0x",DEC2HEX(32*$C$29+E55,3))</f>
        <v>0x069</v>
      </c>
      <c r="G55" s="168" t="s">
        <v>44</v>
      </c>
      <c r="H55" s="168">
        <v>0</v>
      </c>
      <c r="I55" s="169">
        <f>SUM(N55:N56)</f>
        <v>4</v>
      </c>
      <c r="J55" s="170">
        <f>CEILING(('CAN Protocol'!$D$4+'CAN Messages Table'!I55:I55*8)*CAN_Bit_stuffing_ratio,1)</f>
        <v>92</v>
      </c>
      <c r="K55" s="167">
        <f>J55*H55/(8*(CAN_Bus_speed*1000/8))</f>
        <v>0</v>
      </c>
      <c r="L55" s="56" t="s">
        <v>156</v>
      </c>
      <c r="M55" s="51">
        <v>0</v>
      </c>
      <c r="N55" s="51">
        <v>2</v>
      </c>
      <c r="O55" s="127" t="s">
        <v>284</v>
      </c>
      <c r="P55" s="47" t="s">
        <v>170</v>
      </c>
    </row>
    <row r="56" spans="2:16" s="34" customFormat="1">
      <c r="B56" s="208"/>
      <c r="C56" s="184"/>
      <c r="D56" s="178"/>
      <c r="E56" s="168"/>
      <c r="F56" s="179"/>
      <c r="G56" s="168"/>
      <c r="H56" s="168"/>
      <c r="I56" s="169"/>
      <c r="J56" s="170"/>
      <c r="K56" s="167"/>
      <c r="L56" s="56" t="s">
        <v>155</v>
      </c>
      <c r="M56" s="51">
        <v>2</v>
      </c>
      <c r="N56" s="51">
        <v>2</v>
      </c>
      <c r="O56" s="127" t="s">
        <v>284</v>
      </c>
      <c r="P56" s="47" t="s">
        <v>171</v>
      </c>
    </row>
    <row r="57" spans="2:16" s="34" customFormat="1">
      <c r="B57" s="208"/>
      <c r="C57" s="184"/>
      <c r="D57" s="106" t="s">
        <v>146</v>
      </c>
      <c r="E57" s="51">
        <v>10</v>
      </c>
      <c r="F57" s="57" t="str">
        <f>CONCATENATE("0x",DEC2HEX(32*$C$29+E57,3))</f>
        <v>0x06A</v>
      </c>
      <c r="G57" s="51" t="s">
        <v>44</v>
      </c>
      <c r="H57" s="51">
        <v>0</v>
      </c>
      <c r="I57" s="58">
        <f>N57</f>
        <v>2</v>
      </c>
      <c r="J57" s="49">
        <f>CEILING(('CAN Protocol'!$D$4+'CAN Messages Table'!I57:I57*8)*CAN_Bit_stuffing_ratio,1)</f>
        <v>72</v>
      </c>
      <c r="K57" s="50">
        <f>J57*H57/(8*(CAN_Bus_speed*1000/8))</f>
        <v>0</v>
      </c>
      <c r="L57" s="56" t="s">
        <v>147</v>
      </c>
      <c r="M57" s="51">
        <v>0</v>
      </c>
      <c r="N57" s="51">
        <v>2</v>
      </c>
      <c r="O57" s="127" t="s">
        <v>284</v>
      </c>
      <c r="P57" s="47" t="s">
        <v>170</v>
      </c>
    </row>
    <row r="58" spans="2:16" s="34" customFormat="1">
      <c r="B58" s="208"/>
      <c r="C58" s="184"/>
      <c r="D58" s="106" t="s">
        <v>148</v>
      </c>
      <c r="E58" s="51">
        <v>11</v>
      </c>
      <c r="F58" s="57" t="str">
        <f>CONCATENATE("0x",DEC2HEX(32*$C$29+E58,3))</f>
        <v>0x06B</v>
      </c>
      <c r="G58" s="51" t="s">
        <v>44</v>
      </c>
      <c r="H58" s="51">
        <v>0</v>
      </c>
      <c r="I58" s="58">
        <f>N58</f>
        <v>2</v>
      </c>
      <c r="J58" s="49">
        <f>CEILING(('CAN Protocol'!$D$4+'CAN Messages Table'!I58:I58*8)*CAN_Bit_stuffing_ratio,1)</f>
        <v>72</v>
      </c>
      <c r="K58" s="50">
        <f>J58*H58/(8*(CAN_Bus_speed*1000/8))</f>
        <v>0</v>
      </c>
      <c r="L58" s="56" t="s">
        <v>151</v>
      </c>
      <c r="M58" s="51">
        <v>0</v>
      </c>
      <c r="N58" s="51">
        <v>2</v>
      </c>
      <c r="O58" s="127" t="s">
        <v>284</v>
      </c>
      <c r="P58" s="47" t="s">
        <v>170</v>
      </c>
    </row>
    <row r="59" spans="2:16" s="34" customFormat="1">
      <c r="B59" s="208"/>
      <c r="C59" s="184"/>
      <c r="D59" s="106" t="s">
        <v>149</v>
      </c>
      <c r="E59" s="51">
        <v>12</v>
      </c>
      <c r="F59" s="57" t="str">
        <f>CONCATENATE("0x",DEC2HEX(32*$C$29+E59,3))</f>
        <v>0x06C</v>
      </c>
      <c r="G59" s="51" t="s">
        <v>44</v>
      </c>
      <c r="H59" s="51">
        <v>0</v>
      </c>
      <c r="I59" s="58">
        <f>N59</f>
        <v>2</v>
      </c>
      <c r="J59" s="49">
        <f>CEILING(('CAN Protocol'!$D$4+'CAN Messages Table'!I59:I59*8)*CAN_Bit_stuffing_ratio,1)</f>
        <v>72</v>
      </c>
      <c r="K59" s="50">
        <f>J59*H59/(8*(CAN_Bus_speed*1000/8))</f>
        <v>0</v>
      </c>
      <c r="L59" s="56" t="s">
        <v>152</v>
      </c>
      <c r="M59" s="51">
        <v>0</v>
      </c>
      <c r="N59" s="51">
        <v>2</v>
      </c>
      <c r="O59" s="127" t="s">
        <v>284</v>
      </c>
      <c r="P59" s="47" t="s">
        <v>171</v>
      </c>
    </row>
    <row r="60" spans="2:16" s="34" customFormat="1" ht="15.75" thickBot="1">
      <c r="B60" s="209"/>
      <c r="C60" s="185"/>
      <c r="D60" s="105" t="s">
        <v>150</v>
      </c>
      <c r="E60" s="95">
        <v>13</v>
      </c>
      <c r="F60" s="96" t="str">
        <f>CONCATENATE("0x",DEC2HEX(32*$C$29+E60,3))</f>
        <v>0x06D</v>
      </c>
      <c r="G60" s="95" t="s">
        <v>44</v>
      </c>
      <c r="H60" s="95">
        <v>0</v>
      </c>
      <c r="I60" s="97">
        <f>N60</f>
        <v>2</v>
      </c>
      <c r="J60" s="82">
        <f>CEILING(('CAN Protocol'!$D$4+'CAN Messages Table'!I60:I60*8)*CAN_Bit_stuffing_ratio,1)</f>
        <v>72</v>
      </c>
      <c r="K60" s="83">
        <f>J60*H60/(8*(CAN_Bus_speed*1000/8))</f>
        <v>0</v>
      </c>
      <c r="L60" s="72" t="s">
        <v>153</v>
      </c>
      <c r="M60" s="95">
        <v>0</v>
      </c>
      <c r="N60" s="95">
        <v>2</v>
      </c>
      <c r="O60" s="128" t="s">
        <v>284</v>
      </c>
      <c r="P60" s="74" t="s">
        <v>171</v>
      </c>
    </row>
    <row r="61" spans="2:16" s="35" customFormat="1">
      <c r="B61" s="199" t="s">
        <v>31</v>
      </c>
      <c r="C61" s="175">
        <v>4</v>
      </c>
      <c r="D61" s="202" t="s">
        <v>231</v>
      </c>
      <c r="E61" s="204">
        <v>0</v>
      </c>
      <c r="F61" s="205" t="str">
        <f>CONCATENATE("0x",DEC2HEX(32*C$61+E61,3))</f>
        <v>0x080</v>
      </c>
      <c r="G61" s="204" t="s">
        <v>44</v>
      </c>
      <c r="H61" s="204">
        <v>0</v>
      </c>
      <c r="I61" s="264">
        <f>SUM(N61:N62)</f>
        <v>2</v>
      </c>
      <c r="J61" s="198">
        <f>CEILING(('CAN Protocol'!$D$4+'CAN Messages Table'!I61:I61*8)*CAN_Bit_stuffing_ratio,1)</f>
        <v>72</v>
      </c>
      <c r="K61" s="166">
        <f>J61*H61/(8*(CAN_Bus_speed*1000/8))</f>
        <v>0</v>
      </c>
      <c r="L61" s="94" t="s">
        <v>188</v>
      </c>
      <c r="M61" s="85">
        <v>0</v>
      </c>
      <c r="N61" s="85">
        <v>1</v>
      </c>
      <c r="O61" s="129" t="s">
        <v>290</v>
      </c>
      <c r="P61" s="89" t="s">
        <v>232</v>
      </c>
    </row>
    <row r="62" spans="2:16" s="35" customFormat="1">
      <c r="B62" s="200"/>
      <c r="C62" s="176"/>
      <c r="D62" s="203"/>
      <c r="E62" s="192"/>
      <c r="F62" s="206"/>
      <c r="G62" s="192"/>
      <c r="H62" s="192"/>
      <c r="I62" s="193"/>
      <c r="J62" s="170"/>
      <c r="K62" s="167"/>
      <c r="L62" s="59" t="s">
        <v>189</v>
      </c>
      <c r="M62" s="60">
        <v>1</v>
      </c>
      <c r="N62" s="60">
        <v>1</v>
      </c>
      <c r="O62" s="130" t="s">
        <v>290</v>
      </c>
      <c r="P62" s="61" t="s">
        <v>233</v>
      </c>
    </row>
    <row r="63" spans="2:16" s="35" customFormat="1">
      <c r="B63" s="200"/>
      <c r="C63" s="176"/>
      <c r="D63" s="203" t="s">
        <v>234</v>
      </c>
      <c r="E63" s="192">
        <v>1</v>
      </c>
      <c r="F63" s="206" t="str">
        <f t="shared" ref="F63" si="0">CONCATENATE("0x",DEC2HEX(32*C$61+E63,3))</f>
        <v>0x081</v>
      </c>
      <c r="G63" s="192" t="s">
        <v>44</v>
      </c>
      <c r="H63" s="192">
        <v>0</v>
      </c>
      <c r="I63" s="193">
        <f>SUM(N63:N64)</f>
        <v>2</v>
      </c>
      <c r="J63" s="170">
        <f>CEILING(('CAN Protocol'!$D$4+'CAN Messages Table'!I63:I63*8)*CAN_Bit_stuffing_ratio,1)</f>
        <v>72</v>
      </c>
      <c r="K63" s="167">
        <f>J63*H63/(8*(CAN_Bus_speed*1000/8))</f>
        <v>0</v>
      </c>
      <c r="L63" s="59" t="s">
        <v>188</v>
      </c>
      <c r="M63" s="60">
        <v>0</v>
      </c>
      <c r="N63" s="60">
        <v>1</v>
      </c>
      <c r="O63" s="130" t="s">
        <v>290</v>
      </c>
      <c r="P63" s="61" t="s">
        <v>232</v>
      </c>
    </row>
    <row r="64" spans="2:16" s="35" customFormat="1">
      <c r="B64" s="200"/>
      <c r="C64" s="176"/>
      <c r="D64" s="203"/>
      <c r="E64" s="192"/>
      <c r="F64" s="206"/>
      <c r="G64" s="192"/>
      <c r="H64" s="192"/>
      <c r="I64" s="193"/>
      <c r="J64" s="170"/>
      <c r="K64" s="167"/>
      <c r="L64" s="59" t="s">
        <v>189</v>
      </c>
      <c r="M64" s="60">
        <v>1</v>
      </c>
      <c r="N64" s="60">
        <v>1</v>
      </c>
      <c r="O64" s="130" t="s">
        <v>290</v>
      </c>
      <c r="P64" s="61" t="s">
        <v>233</v>
      </c>
    </row>
    <row r="65" spans="2:16" s="35" customFormat="1">
      <c r="B65" s="200"/>
      <c r="C65" s="176"/>
      <c r="D65" s="203" t="s">
        <v>235</v>
      </c>
      <c r="E65" s="192">
        <v>2</v>
      </c>
      <c r="F65" s="206" t="str">
        <f t="shared" ref="F65" si="1">CONCATENATE("0x",DEC2HEX(32*C$61+E65,3))</f>
        <v>0x082</v>
      </c>
      <c r="G65" s="192" t="s">
        <v>44</v>
      </c>
      <c r="H65" s="192">
        <v>0</v>
      </c>
      <c r="I65" s="193">
        <f>SUM(N65:N66)</f>
        <v>2</v>
      </c>
      <c r="J65" s="170">
        <f>CEILING(('CAN Protocol'!$D$4+'CAN Messages Table'!I65:I65*8)*CAN_Bit_stuffing_ratio,1)</f>
        <v>72</v>
      </c>
      <c r="K65" s="167">
        <f>J65*H65/(8*(CAN_Bus_speed*1000/8))</f>
        <v>0</v>
      </c>
      <c r="L65" s="59" t="s">
        <v>190</v>
      </c>
      <c r="M65" s="60">
        <v>0</v>
      </c>
      <c r="N65" s="60">
        <v>1</v>
      </c>
      <c r="O65" s="130" t="s">
        <v>290</v>
      </c>
      <c r="P65" s="61" t="s">
        <v>192</v>
      </c>
    </row>
    <row r="66" spans="2:16" s="35" customFormat="1">
      <c r="B66" s="200"/>
      <c r="C66" s="176"/>
      <c r="D66" s="203"/>
      <c r="E66" s="192"/>
      <c r="F66" s="206"/>
      <c r="G66" s="192"/>
      <c r="H66" s="192"/>
      <c r="I66" s="193"/>
      <c r="J66" s="170"/>
      <c r="K66" s="167"/>
      <c r="L66" s="59" t="s">
        <v>191</v>
      </c>
      <c r="M66" s="60">
        <v>1</v>
      </c>
      <c r="N66" s="60">
        <v>1</v>
      </c>
      <c r="O66" s="130" t="s">
        <v>290</v>
      </c>
      <c r="P66" s="61" t="s">
        <v>193</v>
      </c>
    </row>
    <row r="67" spans="2:16" s="35" customFormat="1">
      <c r="B67" s="200"/>
      <c r="C67" s="176"/>
      <c r="D67" s="107" t="s">
        <v>236</v>
      </c>
      <c r="E67" s="53">
        <v>3</v>
      </c>
      <c r="F67" s="52" t="str">
        <f>CONCATENATE("0x",DEC2HEX(32*C$61+E67,3))</f>
        <v>0x083</v>
      </c>
      <c r="G67" s="53" t="s">
        <v>44</v>
      </c>
      <c r="H67" s="53">
        <v>0</v>
      </c>
      <c r="I67" s="54">
        <f t="shared" ref="I67:I73" si="2">SUM(N67:N67)</f>
        <v>2</v>
      </c>
      <c r="J67" s="49">
        <f>CEILING(('CAN Protocol'!$D$4+'CAN Messages Table'!I67:I67*8)*CAN_Bit_stuffing_ratio,1)</f>
        <v>72</v>
      </c>
      <c r="K67" s="50">
        <f t="shared" ref="K67:K73" si="3">J67*H67/(8*(CAN_Bus_speed*1000/8))</f>
        <v>0</v>
      </c>
      <c r="L67" s="59" t="s">
        <v>189</v>
      </c>
      <c r="M67" s="60">
        <v>0</v>
      </c>
      <c r="N67" s="60">
        <v>2</v>
      </c>
      <c r="O67" s="130" t="s">
        <v>290</v>
      </c>
      <c r="P67" s="61" t="s">
        <v>196</v>
      </c>
    </row>
    <row r="68" spans="2:16" s="35" customFormat="1">
      <c r="B68" s="200"/>
      <c r="C68" s="176"/>
      <c r="D68" s="107" t="s">
        <v>237</v>
      </c>
      <c r="E68" s="53">
        <v>4</v>
      </c>
      <c r="F68" s="52" t="str">
        <f t="shared" ref="F68:F69" si="4">CONCATENATE("0x",DEC2HEX(32*C$61+E68,3))</f>
        <v>0x084</v>
      </c>
      <c r="G68" s="53" t="s">
        <v>44</v>
      </c>
      <c r="H68" s="53">
        <v>0</v>
      </c>
      <c r="I68" s="54">
        <f t="shared" si="2"/>
        <v>1</v>
      </c>
      <c r="J68" s="49">
        <f>CEILING(('CAN Protocol'!$D$4+'CAN Messages Table'!I68:I68*8)*CAN_Bit_stuffing_ratio,1)</f>
        <v>63</v>
      </c>
      <c r="K68" s="50">
        <f t="shared" si="3"/>
        <v>0</v>
      </c>
      <c r="L68" s="59" t="s">
        <v>238</v>
      </c>
      <c r="M68" s="60">
        <v>0</v>
      </c>
      <c r="N68" s="60">
        <v>1</v>
      </c>
      <c r="O68" s="130" t="s">
        <v>280</v>
      </c>
      <c r="P68" s="61" t="s">
        <v>239</v>
      </c>
    </row>
    <row r="69" spans="2:16" s="35" customFormat="1" ht="15.75" thickBot="1">
      <c r="B69" s="201"/>
      <c r="C69" s="177"/>
      <c r="D69" s="108" t="s">
        <v>240</v>
      </c>
      <c r="E69" s="90">
        <v>5</v>
      </c>
      <c r="F69" s="91" t="str">
        <f t="shared" si="4"/>
        <v>0x085</v>
      </c>
      <c r="G69" s="90" t="s">
        <v>44</v>
      </c>
      <c r="H69" s="90">
        <v>0</v>
      </c>
      <c r="I69" s="81">
        <f t="shared" si="2"/>
        <v>1</v>
      </c>
      <c r="J69" s="82">
        <f>CEILING(('CAN Protocol'!$D$4+'CAN Messages Table'!I69:I69*8)*CAN_Bit_stuffing_ratio,1)</f>
        <v>63</v>
      </c>
      <c r="K69" s="83">
        <f t="shared" si="3"/>
        <v>0</v>
      </c>
      <c r="L69" s="92" t="s">
        <v>240</v>
      </c>
      <c r="M69" s="80">
        <v>0</v>
      </c>
      <c r="N69" s="80">
        <v>1</v>
      </c>
      <c r="O69" s="131" t="s">
        <v>280</v>
      </c>
      <c r="P69" s="93" t="s">
        <v>241</v>
      </c>
    </row>
    <row r="70" spans="2:16" s="35" customFormat="1">
      <c r="B70" s="172" t="s">
        <v>194</v>
      </c>
      <c r="C70" s="175">
        <v>5</v>
      </c>
      <c r="D70" s="109" t="s">
        <v>242</v>
      </c>
      <c r="E70" s="85">
        <v>0</v>
      </c>
      <c r="F70" s="86" t="str">
        <f>CONCATENATE("0x",DEC2HEX(32*C$70+E70,3))</f>
        <v>0x0A0</v>
      </c>
      <c r="G70" s="85" t="s">
        <v>44</v>
      </c>
      <c r="H70" s="85">
        <v>5</v>
      </c>
      <c r="I70" s="87">
        <f t="shared" si="2"/>
        <v>1</v>
      </c>
      <c r="J70" s="75">
        <f>CEILING(('CAN Protocol'!$D$4+'CAN Messages Table'!I70:I70*8)*CAN_Bit_stuffing_ratio,1)</f>
        <v>63</v>
      </c>
      <c r="K70" s="76">
        <f t="shared" si="3"/>
        <v>2.5200000000000001E-3</v>
      </c>
      <c r="L70" s="88" t="s">
        <v>197</v>
      </c>
      <c r="M70" s="85">
        <v>0</v>
      </c>
      <c r="N70" s="85">
        <v>1</v>
      </c>
      <c r="O70" s="129" t="s">
        <v>290</v>
      </c>
      <c r="P70" s="89" t="s">
        <v>243</v>
      </c>
    </row>
    <row r="71" spans="2:16" s="35" customFormat="1">
      <c r="B71" s="173"/>
      <c r="C71" s="176"/>
      <c r="D71" s="107" t="s">
        <v>244</v>
      </c>
      <c r="E71" s="60">
        <v>1</v>
      </c>
      <c r="F71" s="62" t="str">
        <f t="shared" ref="F71:F73" si="5">CONCATENATE("0x",DEC2HEX(32*C$70+E71,3))</f>
        <v>0x0A1</v>
      </c>
      <c r="G71" s="60" t="s">
        <v>44</v>
      </c>
      <c r="H71" s="60">
        <v>5</v>
      </c>
      <c r="I71" s="54">
        <f t="shared" si="2"/>
        <v>1</v>
      </c>
      <c r="J71" s="49">
        <f>CEILING(('CAN Protocol'!$D$4+'CAN Messages Table'!I71:I71*8)*CAN_Bit_stuffing_ratio,1)</f>
        <v>63</v>
      </c>
      <c r="K71" s="50">
        <f t="shared" si="3"/>
        <v>2.5200000000000001E-3</v>
      </c>
      <c r="L71" s="59" t="s">
        <v>197</v>
      </c>
      <c r="M71" s="60">
        <v>0</v>
      </c>
      <c r="N71" s="60">
        <v>1</v>
      </c>
      <c r="O71" s="130" t="s">
        <v>290</v>
      </c>
      <c r="P71" s="61" t="s">
        <v>245</v>
      </c>
    </row>
    <row r="72" spans="2:16" s="35" customFormat="1">
      <c r="B72" s="173"/>
      <c r="C72" s="176"/>
      <c r="D72" s="107" t="s">
        <v>246</v>
      </c>
      <c r="E72" s="60">
        <v>2</v>
      </c>
      <c r="F72" s="62" t="str">
        <f t="shared" si="5"/>
        <v>0x0A2</v>
      </c>
      <c r="G72" s="60" t="s">
        <v>44</v>
      </c>
      <c r="H72" s="60">
        <v>5</v>
      </c>
      <c r="I72" s="54">
        <f t="shared" si="2"/>
        <v>1</v>
      </c>
      <c r="J72" s="49">
        <f>CEILING(('CAN Protocol'!$D$4+'CAN Messages Table'!I72:I72*8)*CAN_Bit_stuffing_ratio,1)</f>
        <v>63</v>
      </c>
      <c r="K72" s="50">
        <f t="shared" si="3"/>
        <v>2.5200000000000001E-3</v>
      </c>
      <c r="L72" s="59" t="s">
        <v>197</v>
      </c>
      <c r="M72" s="60">
        <v>0</v>
      </c>
      <c r="N72" s="60">
        <v>1</v>
      </c>
      <c r="O72" s="130" t="s">
        <v>290</v>
      </c>
      <c r="P72" s="61" t="s">
        <v>247</v>
      </c>
    </row>
    <row r="73" spans="2:16" s="35" customFormat="1" ht="15.75" thickBot="1">
      <c r="B73" s="174"/>
      <c r="C73" s="177"/>
      <c r="D73" s="110" t="s">
        <v>248</v>
      </c>
      <c r="E73" s="78">
        <v>3</v>
      </c>
      <c r="F73" s="79" t="str">
        <f t="shared" si="5"/>
        <v>0x0A3</v>
      </c>
      <c r="G73" s="80" t="s">
        <v>44</v>
      </c>
      <c r="H73" s="80">
        <v>5</v>
      </c>
      <c r="I73" s="81">
        <f t="shared" si="2"/>
        <v>1</v>
      </c>
      <c r="J73" s="82">
        <f>CEILING(('CAN Protocol'!$D$4+'CAN Messages Table'!I73:I73*8)*CAN_Bit_stuffing_ratio,1)</f>
        <v>63</v>
      </c>
      <c r="K73" s="83">
        <f t="shared" si="3"/>
        <v>2.5200000000000001E-3</v>
      </c>
      <c r="L73" s="77" t="s">
        <v>249</v>
      </c>
      <c r="M73" s="78">
        <v>0</v>
      </c>
      <c r="N73" s="78">
        <v>1</v>
      </c>
      <c r="O73" s="132" t="s">
        <v>280</v>
      </c>
      <c r="P73" s="84" t="s">
        <v>250</v>
      </c>
    </row>
    <row r="74" spans="2:16" s="34" customFormat="1" ht="15.75" customHeight="1">
      <c r="B74" s="231" t="s">
        <v>30</v>
      </c>
      <c r="C74" s="189">
        <v>8</v>
      </c>
      <c r="D74" s="265" t="s">
        <v>93</v>
      </c>
      <c r="E74" s="266">
        <v>0</v>
      </c>
      <c r="F74" s="267" t="str">
        <f>CONCATENATE("0x",DEC2HEX(32*C$74+E74,3))</f>
        <v>0x100</v>
      </c>
      <c r="G74" s="266" t="s">
        <v>84</v>
      </c>
      <c r="H74" s="266">
        <v>1</v>
      </c>
      <c r="I74" s="268">
        <f>SUM(N74:N75)</f>
        <v>2</v>
      </c>
      <c r="J74" s="269">
        <f>CEILING(('CAN Protocol'!$D$4+'CAN Messages Table'!I74:I74*8)*CAN_Bit_stuffing_ratio,1)</f>
        <v>72</v>
      </c>
      <c r="K74" s="270">
        <f t="shared" ref="K74" si="6">J74*H74/(8*(CAN_Bus_speed*1000/8))</f>
        <v>5.7600000000000001E-4</v>
      </c>
      <c r="L74" s="88" t="s">
        <v>141</v>
      </c>
      <c r="M74" s="85">
        <v>0</v>
      </c>
      <c r="N74" s="85">
        <v>1</v>
      </c>
      <c r="O74" s="129" t="s">
        <v>290</v>
      </c>
      <c r="P74" s="89" t="s">
        <v>143</v>
      </c>
    </row>
    <row r="75" spans="2:16" s="34" customFormat="1" ht="15.75" customHeight="1">
      <c r="B75" s="232"/>
      <c r="C75" s="190"/>
      <c r="D75" s="202"/>
      <c r="E75" s="204"/>
      <c r="F75" s="205"/>
      <c r="G75" s="204"/>
      <c r="H75" s="204"/>
      <c r="I75" s="264"/>
      <c r="J75" s="198"/>
      <c r="K75" s="166"/>
      <c r="L75" s="88" t="s">
        <v>273</v>
      </c>
      <c r="M75" s="85">
        <v>1</v>
      </c>
      <c r="N75" s="85">
        <v>1</v>
      </c>
      <c r="O75" s="129" t="s">
        <v>290</v>
      </c>
      <c r="P75" s="89" t="s">
        <v>316</v>
      </c>
    </row>
    <row r="76" spans="2:16" s="34" customFormat="1" ht="15" customHeight="1">
      <c r="B76" s="232"/>
      <c r="C76" s="190"/>
      <c r="D76" s="178" t="s">
        <v>272</v>
      </c>
      <c r="E76" s="168">
        <v>1</v>
      </c>
      <c r="F76" s="179" t="str">
        <f>CONCATENATE("0x",DEC2HEX(32*C$74+E76,3))</f>
        <v>0x101</v>
      </c>
      <c r="G76" s="168" t="s">
        <v>44</v>
      </c>
      <c r="H76" s="168">
        <v>0</v>
      </c>
      <c r="I76" s="169">
        <f>SUM(N76:N79)</f>
        <v>6</v>
      </c>
      <c r="J76" s="170">
        <f>CEILING(('CAN Protocol'!$D$4+'CAN Messages Table'!I76:I76*8)*CAN_Bit_stuffing_ratio,1)</f>
        <v>111</v>
      </c>
      <c r="K76" s="167">
        <f>J76*H76/(8*(CAN_Bus_speed*1000/8))</f>
        <v>0</v>
      </c>
      <c r="L76" s="119" t="s">
        <v>273</v>
      </c>
      <c r="M76" s="70">
        <v>0</v>
      </c>
      <c r="N76" s="70">
        <v>1</v>
      </c>
      <c r="O76" s="125" t="s">
        <v>290</v>
      </c>
      <c r="P76" s="71" t="s">
        <v>274</v>
      </c>
    </row>
    <row r="77" spans="2:16" s="34" customFormat="1" ht="15" customHeight="1">
      <c r="B77" s="232"/>
      <c r="C77" s="190"/>
      <c r="D77" s="178"/>
      <c r="E77" s="168"/>
      <c r="F77" s="179"/>
      <c r="G77" s="168"/>
      <c r="H77" s="168"/>
      <c r="I77" s="169"/>
      <c r="J77" s="170"/>
      <c r="K77" s="167"/>
      <c r="L77" s="119" t="s">
        <v>197</v>
      </c>
      <c r="M77" s="70">
        <v>1</v>
      </c>
      <c r="N77" s="70">
        <v>1</v>
      </c>
      <c r="O77" s="125" t="s">
        <v>280</v>
      </c>
      <c r="P77" s="71" t="s">
        <v>314</v>
      </c>
    </row>
    <row r="78" spans="2:16" s="34" customFormat="1" ht="15" customHeight="1">
      <c r="B78" s="232"/>
      <c r="C78" s="190"/>
      <c r="D78" s="178"/>
      <c r="E78" s="168"/>
      <c r="F78" s="179"/>
      <c r="G78" s="168"/>
      <c r="H78" s="168"/>
      <c r="I78" s="169"/>
      <c r="J78" s="170"/>
      <c r="K78" s="167"/>
      <c r="L78" s="119" t="s">
        <v>275</v>
      </c>
      <c r="M78" s="70">
        <v>2</v>
      </c>
      <c r="N78" s="70">
        <v>2</v>
      </c>
      <c r="O78" s="125" t="s">
        <v>291</v>
      </c>
      <c r="P78" s="71" t="s">
        <v>276</v>
      </c>
    </row>
    <row r="79" spans="2:16" s="34" customFormat="1" ht="15" customHeight="1">
      <c r="B79" s="232"/>
      <c r="C79" s="190"/>
      <c r="D79" s="178"/>
      <c r="E79" s="168"/>
      <c r="F79" s="179"/>
      <c r="G79" s="168"/>
      <c r="H79" s="168"/>
      <c r="I79" s="169"/>
      <c r="J79" s="170"/>
      <c r="K79" s="167"/>
      <c r="L79" s="119" t="s">
        <v>74</v>
      </c>
      <c r="M79" s="70">
        <v>4</v>
      </c>
      <c r="N79" s="70">
        <v>2</v>
      </c>
      <c r="O79" s="125" t="s">
        <v>291</v>
      </c>
      <c r="P79" s="71" t="s">
        <v>111</v>
      </c>
    </row>
    <row r="80" spans="2:16" s="34" customFormat="1" ht="15" customHeight="1">
      <c r="B80" s="232"/>
      <c r="C80" s="190"/>
      <c r="D80" s="111" t="s">
        <v>139</v>
      </c>
      <c r="E80" s="46">
        <v>2</v>
      </c>
      <c r="F80" s="48" t="str">
        <f>CONCATENATE("0x",DEC2HEX(32*C$74+E80,3))</f>
        <v>0x102</v>
      </c>
      <c r="G80" s="46" t="s">
        <v>44</v>
      </c>
      <c r="H80" s="46">
        <v>0</v>
      </c>
      <c r="I80" s="58">
        <f>SUM(N80:N80)</f>
        <v>1</v>
      </c>
      <c r="J80" s="49">
        <f>CEILING(('CAN Protocol'!$D$4+'CAN Messages Table'!I80:I80*8)*CAN_Bit_stuffing_ratio,1)</f>
        <v>63</v>
      </c>
      <c r="K80" s="50">
        <f t="shared" ref="K80:K81" si="7">J80*H80/(8*(CAN_Bus_speed*1000/8))</f>
        <v>0</v>
      </c>
      <c r="L80" s="56" t="s">
        <v>141</v>
      </c>
      <c r="M80" s="46">
        <v>0</v>
      </c>
      <c r="N80" s="46">
        <v>1</v>
      </c>
      <c r="O80" s="123" t="s">
        <v>290</v>
      </c>
      <c r="P80" s="47" t="s">
        <v>142</v>
      </c>
    </row>
    <row r="81" spans="1:257" s="34" customFormat="1" ht="15" customHeight="1">
      <c r="B81" s="232"/>
      <c r="C81" s="190"/>
      <c r="D81" s="178" t="s">
        <v>140</v>
      </c>
      <c r="E81" s="168">
        <v>3</v>
      </c>
      <c r="F81" s="179" t="str">
        <f>CONCATENATE("0x",DEC2HEX(32*C$74+E81,3))</f>
        <v>0x103</v>
      </c>
      <c r="G81" s="168" t="s">
        <v>44</v>
      </c>
      <c r="H81" s="168">
        <v>0</v>
      </c>
      <c r="I81" s="169">
        <f>SUM(N81:N82)</f>
        <v>3</v>
      </c>
      <c r="J81" s="170">
        <f>CEILING(('CAN Protocol'!$D$4+'CAN Messages Table'!I81:I82*8)*CAN_Bit_stuffing_ratio,1)</f>
        <v>82</v>
      </c>
      <c r="K81" s="167">
        <f t="shared" si="7"/>
        <v>0</v>
      </c>
      <c r="L81" s="56" t="s">
        <v>141</v>
      </c>
      <c r="M81" s="46">
        <v>0</v>
      </c>
      <c r="N81" s="46">
        <v>1</v>
      </c>
      <c r="O81" s="123" t="s">
        <v>290</v>
      </c>
      <c r="P81" s="47" t="s">
        <v>143</v>
      </c>
    </row>
    <row r="82" spans="1:257" s="34" customFormat="1" ht="15.75" customHeight="1" thickBot="1">
      <c r="B82" s="233"/>
      <c r="C82" s="191"/>
      <c r="D82" s="224"/>
      <c r="E82" s="255"/>
      <c r="F82" s="261"/>
      <c r="G82" s="255"/>
      <c r="H82" s="255"/>
      <c r="I82" s="256"/>
      <c r="J82" s="257"/>
      <c r="K82" s="171"/>
      <c r="L82" s="72" t="s">
        <v>93</v>
      </c>
      <c r="M82" s="73">
        <v>1</v>
      </c>
      <c r="N82" s="73">
        <v>2</v>
      </c>
      <c r="O82" s="124" t="s">
        <v>291</v>
      </c>
      <c r="P82" s="74" t="s">
        <v>144</v>
      </c>
    </row>
    <row r="83" spans="1:257" s="34" customFormat="1">
      <c r="B83" s="228" t="s">
        <v>29</v>
      </c>
      <c r="C83" s="222">
        <v>14</v>
      </c>
      <c r="D83" s="214" t="s">
        <v>48</v>
      </c>
      <c r="E83" s="210">
        <v>0</v>
      </c>
      <c r="F83" s="223" t="str">
        <f>CONCATENATE("0x",DEC2HEX(32*$C$83+E83,3))</f>
        <v>0x1C0</v>
      </c>
      <c r="G83" s="210" t="s">
        <v>44</v>
      </c>
      <c r="H83" s="210">
        <v>0</v>
      </c>
      <c r="I83" s="218">
        <f>SUM(N83:N84)</f>
        <v>8</v>
      </c>
      <c r="J83" s="248">
        <f>CEILING(('CAN Protocol'!$D$4+'CAN Messages Table'!I83:I84*8)*CAN_Bit_stuffing_ratio,1)</f>
        <v>130</v>
      </c>
      <c r="K83" s="244">
        <f>J83*H83/(8*(CAN_Bus_speed*1000/8))</f>
        <v>0</v>
      </c>
      <c r="L83" s="42" t="s">
        <v>56</v>
      </c>
      <c r="M83" s="43">
        <v>0</v>
      </c>
      <c r="N83" s="43">
        <v>1</v>
      </c>
      <c r="O83" s="122" t="s">
        <v>290</v>
      </c>
      <c r="P83" s="44" t="s">
        <v>58</v>
      </c>
    </row>
    <row r="84" spans="1:257" s="34" customFormat="1">
      <c r="B84" s="229"/>
      <c r="C84" s="184"/>
      <c r="D84" s="178"/>
      <c r="E84" s="168"/>
      <c r="F84" s="179"/>
      <c r="G84" s="168"/>
      <c r="H84" s="168"/>
      <c r="I84" s="169"/>
      <c r="J84" s="170"/>
      <c r="K84" s="167"/>
      <c r="L84" s="45" t="s">
        <v>57</v>
      </c>
      <c r="M84" s="46">
        <v>1</v>
      </c>
      <c r="N84" s="46">
        <v>7</v>
      </c>
      <c r="O84" s="123" t="s">
        <v>313</v>
      </c>
      <c r="P84" s="47" t="s">
        <v>59</v>
      </c>
    </row>
    <row r="85" spans="1:257" s="34" customFormat="1">
      <c r="B85" s="229"/>
      <c r="C85" s="184"/>
      <c r="D85" s="178" t="s">
        <v>49</v>
      </c>
      <c r="E85" s="168">
        <v>1</v>
      </c>
      <c r="F85" s="179" t="str">
        <f>CONCATENATE("0x",DEC2HEX(32*$C$83+E85,3))</f>
        <v>0x1C1</v>
      </c>
      <c r="G85" s="168" t="s">
        <v>44</v>
      </c>
      <c r="H85" s="168">
        <v>0</v>
      </c>
      <c r="I85" s="169">
        <f>SUM(N85:N86)</f>
        <v>8</v>
      </c>
      <c r="J85" s="170">
        <f>CEILING(('CAN Protocol'!$D$4+'CAN Messages Table'!I85:I86*8)*CAN_Bit_stuffing_ratio,1)</f>
        <v>130</v>
      </c>
      <c r="K85" s="167">
        <f>J85*H85/(8*(CAN_Bus_speed*1000/8))</f>
        <v>0</v>
      </c>
      <c r="L85" s="45" t="s">
        <v>56</v>
      </c>
      <c r="M85" s="46">
        <v>0</v>
      </c>
      <c r="N85" s="46">
        <v>1</v>
      </c>
      <c r="O85" s="123" t="s">
        <v>290</v>
      </c>
      <c r="P85" s="47" t="s">
        <v>60</v>
      </c>
    </row>
    <row r="86" spans="1:257" s="34" customFormat="1">
      <c r="B86" s="229"/>
      <c r="C86" s="184"/>
      <c r="D86" s="178"/>
      <c r="E86" s="168"/>
      <c r="F86" s="179"/>
      <c r="G86" s="168"/>
      <c r="H86" s="168"/>
      <c r="I86" s="169"/>
      <c r="J86" s="170"/>
      <c r="K86" s="167"/>
      <c r="L86" s="45" t="s">
        <v>57</v>
      </c>
      <c r="M86" s="46">
        <v>1</v>
      </c>
      <c r="N86" s="46">
        <v>7</v>
      </c>
      <c r="O86" s="123" t="s">
        <v>313</v>
      </c>
      <c r="P86" s="47" t="s">
        <v>61</v>
      </c>
    </row>
    <row r="87" spans="1:257" s="34" customFormat="1">
      <c r="B87" s="229"/>
      <c r="C87" s="184"/>
      <c r="D87" s="225" t="s">
        <v>50</v>
      </c>
      <c r="E87" s="227">
        <v>2</v>
      </c>
      <c r="F87" s="234" t="str">
        <f>CONCATENATE("0x",DEC2HEX(32*$C$83+E87,3))</f>
        <v>0x1C2</v>
      </c>
      <c r="G87" s="227" t="s">
        <v>44</v>
      </c>
      <c r="H87" s="227">
        <v>0</v>
      </c>
      <c r="I87" s="242">
        <f>SUM(N87:N88)</f>
        <v>8</v>
      </c>
      <c r="J87" s="247">
        <f>CEILING(('CAN Protocol'!$D$4+'CAN Messages Table'!I87:I88*8)*CAN_Bit_stuffing_ratio,1)</f>
        <v>130</v>
      </c>
      <c r="K87" s="252">
        <f>J87*H87/(8*(CAN_Bus_speed*1000/8))</f>
        <v>0</v>
      </c>
      <c r="L87" s="63" t="s">
        <v>56</v>
      </c>
      <c r="M87" s="64">
        <v>0</v>
      </c>
      <c r="N87" s="64">
        <v>1</v>
      </c>
      <c r="O87" s="123" t="s">
        <v>290</v>
      </c>
      <c r="P87" s="65" t="s">
        <v>62</v>
      </c>
    </row>
    <row r="88" spans="1:257" s="34" customFormat="1">
      <c r="B88" s="229"/>
      <c r="C88" s="184"/>
      <c r="D88" s="225"/>
      <c r="E88" s="227"/>
      <c r="F88" s="234"/>
      <c r="G88" s="227"/>
      <c r="H88" s="227"/>
      <c r="I88" s="242"/>
      <c r="J88" s="247"/>
      <c r="K88" s="252"/>
      <c r="L88" s="63" t="s">
        <v>57</v>
      </c>
      <c r="M88" s="64">
        <v>1</v>
      </c>
      <c r="N88" s="64">
        <v>7</v>
      </c>
      <c r="O88" s="123" t="s">
        <v>313</v>
      </c>
      <c r="P88" s="65" t="s">
        <v>63</v>
      </c>
    </row>
    <row r="89" spans="1:257" s="34" customFormat="1">
      <c r="B89" s="229"/>
      <c r="C89" s="184"/>
      <c r="D89" s="225" t="s">
        <v>51</v>
      </c>
      <c r="E89" s="227">
        <v>3</v>
      </c>
      <c r="F89" s="234" t="str">
        <f>CONCATENATE("0x",DEC2HEX(32*$C$83+E89,3))</f>
        <v>0x1C3</v>
      </c>
      <c r="G89" s="227" t="s">
        <v>44</v>
      </c>
      <c r="H89" s="227">
        <v>0</v>
      </c>
      <c r="I89" s="242">
        <f>SUM(N89:N90)</f>
        <v>8</v>
      </c>
      <c r="J89" s="247">
        <f>CEILING(('CAN Protocol'!$D$4+'CAN Messages Table'!I89:I90*8)*CAN_Bit_stuffing_ratio,1)</f>
        <v>130</v>
      </c>
      <c r="K89" s="252">
        <f>J89*H89/(8*(CAN_Bus_speed*1000/8))</f>
        <v>0</v>
      </c>
      <c r="L89" s="63" t="s">
        <v>56</v>
      </c>
      <c r="M89" s="64">
        <v>0</v>
      </c>
      <c r="N89" s="64">
        <v>1</v>
      </c>
      <c r="O89" s="123" t="s">
        <v>290</v>
      </c>
      <c r="P89" s="65" t="s">
        <v>64</v>
      </c>
    </row>
    <row r="90" spans="1:257" s="34" customFormat="1">
      <c r="B90" s="229"/>
      <c r="C90" s="184"/>
      <c r="D90" s="225"/>
      <c r="E90" s="227"/>
      <c r="F90" s="234"/>
      <c r="G90" s="227"/>
      <c r="H90" s="227"/>
      <c r="I90" s="242"/>
      <c r="J90" s="247"/>
      <c r="K90" s="252"/>
      <c r="L90" s="63" t="s">
        <v>57</v>
      </c>
      <c r="M90" s="64">
        <v>1</v>
      </c>
      <c r="N90" s="64">
        <v>7</v>
      </c>
      <c r="O90" s="123" t="s">
        <v>313</v>
      </c>
      <c r="P90" s="65" t="s">
        <v>65</v>
      </c>
    </row>
    <row r="91" spans="1:257" s="34" customFormat="1">
      <c r="B91" s="229"/>
      <c r="C91" s="184"/>
      <c r="D91" s="225" t="s">
        <v>52</v>
      </c>
      <c r="E91" s="227">
        <v>4</v>
      </c>
      <c r="F91" s="234" t="str">
        <f>CONCATENATE("0x",DEC2HEX(32*$C$83+E91,3))</f>
        <v>0x1C4</v>
      </c>
      <c r="G91" s="227" t="s">
        <v>44</v>
      </c>
      <c r="H91" s="227">
        <v>0</v>
      </c>
      <c r="I91" s="242">
        <f>SUM(N91:N92)</f>
        <v>8</v>
      </c>
      <c r="J91" s="247">
        <f>CEILING(('CAN Protocol'!$D$4+'CAN Messages Table'!I91:I92*8)*CAN_Bit_stuffing_ratio,1)</f>
        <v>130</v>
      </c>
      <c r="K91" s="252">
        <f>J91*H91/(8*(CAN_Bus_speed*1000/8))</f>
        <v>0</v>
      </c>
      <c r="L91" s="63" t="s">
        <v>56</v>
      </c>
      <c r="M91" s="64">
        <v>0</v>
      </c>
      <c r="N91" s="64">
        <v>1</v>
      </c>
      <c r="O91" s="123" t="s">
        <v>290</v>
      </c>
      <c r="P91" s="65" t="s">
        <v>66</v>
      </c>
    </row>
    <row r="92" spans="1:257" s="34" customFormat="1">
      <c r="B92" s="229"/>
      <c r="C92" s="184"/>
      <c r="D92" s="225"/>
      <c r="E92" s="227"/>
      <c r="F92" s="234"/>
      <c r="G92" s="227"/>
      <c r="H92" s="227"/>
      <c r="I92" s="242"/>
      <c r="J92" s="247"/>
      <c r="K92" s="252"/>
      <c r="L92" s="63" t="s">
        <v>57</v>
      </c>
      <c r="M92" s="64">
        <v>1</v>
      </c>
      <c r="N92" s="64">
        <v>7</v>
      </c>
      <c r="O92" s="123" t="s">
        <v>313</v>
      </c>
      <c r="P92" s="65" t="s">
        <v>67</v>
      </c>
    </row>
    <row r="93" spans="1:257" s="36" customFormat="1">
      <c r="A93" s="34"/>
      <c r="B93" s="229"/>
      <c r="C93" s="184"/>
      <c r="D93" s="225" t="s">
        <v>53</v>
      </c>
      <c r="E93" s="227">
        <v>5</v>
      </c>
      <c r="F93" s="234" t="str">
        <f>CONCATENATE("0x",DEC2HEX(32*$C$83+E93,3))</f>
        <v>0x1C5</v>
      </c>
      <c r="G93" s="227" t="s">
        <v>44</v>
      </c>
      <c r="H93" s="227">
        <v>0</v>
      </c>
      <c r="I93" s="242">
        <f>SUM(N93:N94)</f>
        <v>8</v>
      </c>
      <c r="J93" s="247">
        <f>CEILING(('CAN Protocol'!$D$4+'CAN Messages Table'!I93:I94*8)*CAN_Bit_stuffing_ratio,1)</f>
        <v>130</v>
      </c>
      <c r="K93" s="252">
        <f>J93*H93/(8*(CAN_Bus_speed*1000/8))</f>
        <v>0</v>
      </c>
      <c r="L93" s="63" t="s">
        <v>56</v>
      </c>
      <c r="M93" s="64">
        <v>0</v>
      </c>
      <c r="N93" s="64">
        <v>1</v>
      </c>
      <c r="O93" s="123" t="s">
        <v>290</v>
      </c>
      <c r="P93" s="65" t="s">
        <v>68</v>
      </c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</row>
    <row r="94" spans="1:257" s="34" customFormat="1">
      <c r="B94" s="229"/>
      <c r="C94" s="184"/>
      <c r="D94" s="225"/>
      <c r="E94" s="227"/>
      <c r="F94" s="234"/>
      <c r="G94" s="227"/>
      <c r="H94" s="227"/>
      <c r="I94" s="242"/>
      <c r="J94" s="247"/>
      <c r="K94" s="252"/>
      <c r="L94" s="63" t="s">
        <v>57</v>
      </c>
      <c r="M94" s="64">
        <v>1</v>
      </c>
      <c r="N94" s="64">
        <v>7</v>
      </c>
      <c r="O94" s="123" t="s">
        <v>313</v>
      </c>
      <c r="P94" s="65" t="s">
        <v>69</v>
      </c>
    </row>
    <row r="95" spans="1:257" s="34" customFormat="1">
      <c r="B95" s="229"/>
      <c r="C95" s="184"/>
      <c r="D95" s="225" t="s">
        <v>54</v>
      </c>
      <c r="E95" s="227">
        <v>6</v>
      </c>
      <c r="F95" s="234" t="str">
        <f>CONCATENATE("0x",DEC2HEX(32*$C$83+E95,3))</f>
        <v>0x1C6</v>
      </c>
      <c r="G95" s="227" t="s">
        <v>44</v>
      </c>
      <c r="H95" s="227">
        <v>0</v>
      </c>
      <c r="I95" s="242">
        <f>SUM(N95:N96)</f>
        <v>8</v>
      </c>
      <c r="J95" s="247">
        <f>CEILING(('CAN Protocol'!$D$4+'CAN Messages Table'!I95:I96*8)*CAN_Bit_stuffing_ratio,1)</f>
        <v>130</v>
      </c>
      <c r="K95" s="252">
        <f>J95*H95/(8*(CAN_Bus_speed*1000/8))</f>
        <v>0</v>
      </c>
      <c r="L95" s="63" t="s">
        <v>56</v>
      </c>
      <c r="M95" s="64">
        <v>0</v>
      </c>
      <c r="N95" s="64">
        <v>1</v>
      </c>
      <c r="O95" s="123" t="s">
        <v>290</v>
      </c>
      <c r="P95" s="65" t="s">
        <v>70</v>
      </c>
    </row>
    <row r="96" spans="1:257" s="34" customFormat="1">
      <c r="B96" s="229"/>
      <c r="C96" s="184"/>
      <c r="D96" s="225"/>
      <c r="E96" s="227"/>
      <c r="F96" s="234"/>
      <c r="G96" s="227"/>
      <c r="H96" s="227"/>
      <c r="I96" s="242"/>
      <c r="J96" s="247"/>
      <c r="K96" s="252"/>
      <c r="L96" s="63" t="s">
        <v>57</v>
      </c>
      <c r="M96" s="64">
        <v>1</v>
      </c>
      <c r="N96" s="64">
        <v>7</v>
      </c>
      <c r="O96" s="123" t="s">
        <v>313</v>
      </c>
      <c r="P96" s="65" t="s">
        <v>71</v>
      </c>
    </row>
    <row r="97" spans="1:257" s="34" customFormat="1">
      <c r="B97" s="229"/>
      <c r="C97" s="184"/>
      <c r="D97" s="225" t="s">
        <v>55</v>
      </c>
      <c r="E97" s="227">
        <v>7</v>
      </c>
      <c r="F97" s="234" t="str">
        <f>CONCATENATE("0x",DEC2HEX(32*$C$83+E97,3))</f>
        <v>0x1C7</v>
      </c>
      <c r="G97" s="227" t="s">
        <v>44</v>
      </c>
      <c r="H97" s="227">
        <v>0</v>
      </c>
      <c r="I97" s="242">
        <f>SUM(N97:N98)</f>
        <v>8</v>
      </c>
      <c r="J97" s="247">
        <f>CEILING(('CAN Protocol'!$D$4+'CAN Messages Table'!I97:I98*8)*CAN_Bit_stuffing_ratio,1)</f>
        <v>130</v>
      </c>
      <c r="K97" s="252">
        <f>J97*H97/(8*(CAN_Bus_speed*1000/8))</f>
        <v>0</v>
      </c>
      <c r="L97" s="63" t="s">
        <v>56</v>
      </c>
      <c r="M97" s="64">
        <v>0</v>
      </c>
      <c r="N97" s="64">
        <v>1</v>
      </c>
      <c r="O97" s="123" t="s">
        <v>290</v>
      </c>
      <c r="P97" s="65" t="s">
        <v>72</v>
      </c>
    </row>
    <row r="98" spans="1:257" s="34" customFormat="1" ht="15.75" thickBot="1">
      <c r="B98" s="230"/>
      <c r="C98" s="185"/>
      <c r="D98" s="226"/>
      <c r="E98" s="258"/>
      <c r="F98" s="263"/>
      <c r="G98" s="258"/>
      <c r="H98" s="258"/>
      <c r="I98" s="259"/>
      <c r="J98" s="262"/>
      <c r="K98" s="260"/>
      <c r="L98" s="66" t="s">
        <v>57</v>
      </c>
      <c r="M98" s="67">
        <v>1</v>
      </c>
      <c r="N98" s="67">
        <v>7</v>
      </c>
      <c r="O98" s="124" t="s">
        <v>313</v>
      </c>
      <c r="P98" s="68" t="s">
        <v>73</v>
      </c>
    </row>
    <row r="99" spans="1:257" s="34" customFormat="1" ht="15.75" customHeight="1">
      <c r="B99" s="271" t="s">
        <v>28</v>
      </c>
      <c r="C99" s="189">
        <v>15</v>
      </c>
      <c r="D99" s="265" t="s">
        <v>317</v>
      </c>
      <c r="E99" s="266">
        <v>0</v>
      </c>
      <c r="F99" s="267" t="str">
        <f>CONCATENATE("0x",DEC2HEX(32*C$99+E99,3))</f>
        <v>0x1E0</v>
      </c>
      <c r="G99" s="266" t="s">
        <v>44</v>
      </c>
      <c r="H99" s="266">
        <v>0</v>
      </c>
      <c r="I99" s="268">
        <f>SUM(N99:N100)</f>
        <v>8</v>
      </c>
      <c r="J99" s="269">
        <f>CEILING(('CAN Protocol'!$D$4+'CAN Messages Table'!I99:I99*8)*CAN_Bit_stuffing_ratio,1)</f>
        <v>130</v>
      </c>
      <c r="K99" s="270">
        <f t="shared" ref="K99" si="8">J99*H99/(8*(CAN_Bus_speed*1000/8))</f>
        <v>0</v>
      </c>
      <c r="L99" s="88" t="s">
        <v>141</v>
      </c>
      <c r="M99" s="85">
        <v>0</v>
      </c>
      <c r="N99" s="85">
        <v>1</v>
      </c>
      <c r="O99" s="129" t="s">
        <v>290</v>
      </c>
      <c r="P99" s="89" t="s">
        <v>320</v>
      </c>
    </row>
    <row r="100" spans="1:257" s="34" customFormat="1" ht="15.75" customHeight="1" thickBot="1">
      <c r="B100" s="272"/>
      <c r="C100" s="191"/>
      <c r="D100" s="273"/>
      <c r="E100" s="274"/>
      <c r="F100" s="275"/>
      <c r="G100" s="274"/>
      <c r="H100" s="274"/>
      <c r="I100" s="276"/>
      <c r="J100" s="277"/>
      <c r="K100" s="278"/>
      <c r="L100" s="144" t="s">
        <v>318</v>
      </c>
      <c r="M100" s="145">
        <v>1</v>
      </c>
      <c r="N100" s="145">
        <v>7</v>
      </c>
      <c r="O100" s="146" t="s">
        <v>313</v>
      </c>
      <c r="P100" s="147" t="s">
        <v>319</v>
      </c>
    </row>
    <row r="101" spans="1:257" ht="8.25" customHeight="1" thickBot="1">
      <c r="C101"/>
      <c r="E101"/>
      <c r="K101"/>
      <c r="M101"/>
      <c r="N101"/>
      <c r="O101"/>
      <c r="P101"/>
    </row>
    <row r="102" spans="1:257">
      <c r="A102" s="15"/>
      <c r="B102" s="254" t="s">
        <v>92</v>
      </c>
      <c r="C102" s="254"/>
      <c r="D102" s="254"/>
      <c r="E102" s="254"/>
      <c r="F102" s="254"/>
      <c r="G102" s="254"/>
      <c r="H102" s="254"/>
      <c r="I102" s="254"/>
      <c r="J102" s="254"/>
      <c r="K102" s="254"/>
      <c r="L102" s="254"/>
      <c r="M102" s="254"/>
      <c r="N102" s="254"/>
      <c r="O102" s="254"/>
      <c r="P102" s="254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15"/>
      <c r="DX102" s="15"/>
      <c r="DY102" s="15"/>
      <c r="DZ102" s="15"/>
      <c r="EA102" s="15"/>
      <c r="EB102" s="15"/>
      <c r="EC102" s="15"/>
      <c r="ED102" s="15"/>
      <c r="EE102" s="15"/>
      <c r="EF102" s="15"/>
      <c r="EG102" s="15"/>
      <c r="EH102" s="15"/>
      <c r="EI102" s="15"/>
      <c r="EJ102" s="15"/>
      <c r="EK102" s="15"/>
      <c r="EL102" s="15"/>
      <c r="EM102" s="15"/>
      <c r="EN102" s="15"/>
      <c r="EO102" s="15"/>
      <c r="EP102" s="15"/>
      <c r="EQ102" s="15"/>
      <c r="ER102" s="15"/>
      <c r="ES102" s="15"/>
      <c r="ET102" s="15"/>
      <c r="EU102" s="15"/>
      <c r="EV102" s="15"/>
      <c r="EW102" s="15"/>
      <c r="EX102" s="15"/>
      <c r="EY102" s="15"/>
      <c r="EZ102" s="15"/>
      <c r="FA102" s="15"/>
      <c r="FB102" s="15"/>
      <c r="FC102" s="15"/>
      <c r="FD102" s="15"/>
      <c r="FE102" s="15"/>
      <c r="FF102" s="15"/>
      <c r="FG102" s="15"/>
      <c r="FH102" s="15"/>
      <c r="FI102" s="15"/>
      <c r="FJ102" s="15"/>
      <c r="FK102" s="15"/>
      <c r="FL102" s="15"/>
      <c r="FM102" s="15"/>
      <c r="FN102" s="15"/>
      <c r="FO102" s="15"/>
      <c r="FP102" s="15"/>
      <c r="FQ102" s="15"/>
      <c r="FR102" s="15"/>
      <c r="FS102" s="15"/>
      <c r="FT102" s="15"/>
      <c r="FU102" s="15"/>
      <c r="FV102" s="15"/>
      <c r="FW102" s="15"/>
      <c r="FX102" s="15"/>
      <c r="FY102" s="15"/>
      <c r="FZ102" s="15"/>
      <c r="GA102" s="15"/>
      <c r="GB102" s="15"/>
      <c r="GC102" s="15"/>
      <c r="GD102" s="15"/>
      <c r="GE102" s="15"/>
      <c r="GF102" s="15"/>
      <c r="GG102" s="15"/>
      <c r="GH102" s="15"/>
      <c r="GI102" s="15"/>
      <c r="GJ102" s="15"/>
      <c r="GK102" s="15"/>
      <c r="GL102" s="15"/>
      <c r="GM102" s="15"/>
      <c r="GN102" s="15"/>
      <c r="GO102" s="15"/>
      <c r="GP102" s="15"/>
      <c r="GQ102" s="15"/>
      <c r="GR102" s="15"/>
      <c r="GS102" s="15"/>
      <c r="GT102" s="15"/>
      <c r="GU102" s="15"/>
      <c r="GV102" s="15"/>
      <c r="GW102" s="15"/>
      <c r="GX102" s="15"/>
      <c r="GY102" s="15"/>
      <c r="GZ102" s="15"/>
      <c r="HA102" s="15"/>
      <c r="HB102" s="15"/>
      <c r="HC102" s="15"/>
      <c r="HD102" s="15"/>
      <c r="HE102" s="15"/>
      <c r="HF102" s="15"/>
      <c r="HG102" s="15"/>
      <c r="HH102" s="15"/>
      <c r="HI102" s="15"/>
      <c r="HJ102" s="15"/>
      <c r="HK102" s="15"/>
      <c r="HL102" s="15"/>
      <c r="HM102" s="15"/>
      <c r="HN102" s="15"/>
      <c r="HO102" s="15"/>
      <c r="HP102" s="15"/>
      <c r="HQ102" s="15"/>
      <c r="HR102" s="15"/>
      <c r="HS102" s="15"/>
      <c r="HT102" s="15"/>
      <c r="HU102" s="15"/>
      <c r="HV102" s="15"/>
      <c r="HW102" s="15"/>
      <c r="HX102" s="15"/>
      <c r="HY102" s="15"/>
      <c r="HZ102" s="15"/>
      <c r="IA102" s="15"/>
      <c r="IB102" s="15"/>
      <c r="IC102" s="15"/>
      <c r="ID102" s="15"/>
      <c r="IE102" s="15"/>
      <c r="IF102" s="15"/>
      <c r="IG102" s="15"/>
      <c r="IH102" s="15"/>
      <c r="II102" s="15"/>
      <c r="IJ102" s="15"/>
      <c r="IK102" s="15"/>
      <c r="IL102" s="15"/>
      <c r="IM102" s="15"/>
      <c r="IN102" s="15"/>
      <c r="IO102" s="15"/>
      <c r="IP102" s="15"/>
      <c r="IQ102" s="15"/>
      <c r="IR102" s="15"/>
      <c r="IS102" s="15"/>
      <c r="IT102" s="15"/>
      <c r="IU102" s="15"/>
      <c r="IV102" s="15"/>
      <c r="IW102" s="15"/>
    </row>
    <row r="104" spans="1:257">
      <c r="F104" s="239" t="s">
        <v>91</v>
      </c>
      <c r="G104" s="240"/>
      <c r="H104" s="240"/>
      <c r="I104" s="241"/>
      <c r="J104" s="11"/>
      <c r="K104" s="12"/>
    </row>
    <row r="105" spans="1:257">
      <c r="F105" s="235" t="s">
        <v>123</v>
      </c>
      <c r="G105" s="236"/>
      <c r="H105" s="236"/>
      <c r="I105" s="13">
        <f>SUMPRODUCT(H5:H98,I5:I98)</f>
        <v>627</v>
      </c>
    </row>
    <row r="106" spans="1:257">
      <c r="F106" s="235" t="s">
        <v>124</v>
      </c>
      <c r="G106" s="236"/>
      <c r="H106" s="236"/>
      <c r="I106" s="13">
        <f>SUMPRODUCT(H5:H98,J5:J98)/8</f>
        <v>1958.375</v>
      </c>
    </row>
    <row r="107" spans="1:257">
      <c r="F107" s="237" t="s">
        <v>83</v>
      </c>
      <c r="G107" s="238"/>
      <c r="H107" s="238"/>
      <c r="I107" s="14">
        <f>$I$106/('CAN Protocol'!$D$6*1000/8)</f>
        <v>0.125336</v>
      </c>
    </row>
  </sheetData>
  <mergeCells count="298">
    <mergeCell ref="B99:B100"/>
    <mergeCell ref="D99:D100"/>
    <mergeCell ref="E99:E100"/>
    <mergeCell ref="F99:F100"/>
    <mergeCell ref="G99:G100"/>
    <mergeCell ref="H99:H100"/>
    <mergeCell ref="I99:I100"/>
    <mergeCell ref="J99:J100"/>
    <mergeCell ref="K99:K100"/>
    <mergeCell ref="C99:C100"/>
    <mergeCell ref="J76:J79"/>
    <mergeCell ref="K76:K79"/>
    <mergeCell ref="D11:D12"/>
    <mergeCell ref="E11:E12"/>
    <mergeCell ref="F11:F12"/>
    <mergeCell ref="G11:G12"/>
    <mergeCell ref="H11:H12"/>
    <mergeCell ref="I11:I12"/>
    <mergeCell ref="J11:J12"/>
    <mergeCell ref="K11:K12"/>
    <mergeCell ref="D74:D75"/>
    <mergeCell ref="E74:E75"/>
    <mergeCell ref="F74:F75"/>
    <mergeCell ref="G74:G75"/>
    <mergeCell ref="H74:H75"/>
    <mergeCell ref="I74:I75"/>
    <mergeCell ref="J74:J75"/>
    <mergeCell ref="K74:K75"/>
    <mergeCell ref="H32:H34"/>
    <mergeCell ref="H39:H42"/>
    <mergeCell ref="G55:G56"/>
    <mergeCell ref="I32:I34"/>
    <mergeCell ref="I53:I54"/>
    <mergeCell ref="H46:H50"/>
    <mergeCell ref="D76:D79"/>
    <mergeCell ref="E76:E79"/>
    <mergeCell ref="F76:F79"/>
    <mergeCell ref="G76:G79"/>
    <mergeCell ref="I37:I38"/>
    <mergeCell ref="D53:D54"/>
    <mergeCell ref="H61:H62"/>
    <mergeCell ref="I61:I62"/>
    <mergeCell ref="H76:H79"/>
    <mergeCell ref="I76:I79"/>
    <mergeCell ref="J97:J98"/>
    <mergeCell ref="E26:E28"/>
    <mergeCell ref="F26:F28"/>
    <mergeCell ref="G26:G28"/>
    <mergeCell ref="H26:H28"/>
    <mergeCell ref="E53:E54"/>
    <mergeCell ref="F53:F54"/>
    <mergeCell ref="G53:G54"/>
    <mergeCell ref="H53:H54"/>
    <mergeCell ref="F97:F98"/>
    <mergeCell ref="G95:G96"/>
    <mergeCell ref="H95:H96"/>
    <mergeCell ref="J51:J52"/>
    <mergeCell ref="E93:E94"/>
    <mergeCell ref="E97:E98"/>
    <mergeCell ref="E35:E36"/>
    <mergeCell ref="I55:I56"/>
    <mergeCell ref="J55:J56"/>
    <mergeCell ref="H43:H45"/>
    <mergeCell ref="I43:I45"/>
    <mergeCell ref="I26:I28"/>
    <mergeCell ref="J26:J28"/>
    <mergeCell ref="J29:J31"/>
    <mergeCell ref="F37:F38"/>
    <mergeCell ref="B102:P102"/>
    <mergeCell ref="E81:E82"/>
    <mergeCell ref="G81:G82"/>
    <mergeCell ref="H81:H82"/>
    <mergeCell ref="I81:I82"/>
    <mergeCell ref="J81:J82"/>
    <mergeCell ref="G91:G92"/>
    <mergeCell ref="H91:H92"/>
    <mergeCell ref="E83:E84"/>
    <mergeCell ref="F83:F84"/>
    <mergeCell ref="E85:E86"/>
    <mergeCell ref="F85:F86"/>
    <mergeCell ref="E87:E88"/>
    <mergeCell ref="F87:F88"/>
    <mergeCell ref="E89:E90"/>
    <mergeCell ref="J89:J90"/>
    <mergeCell ref="I95:I96"/>
    <mergeCell ref="G97:G98"/>
    <mergeCell ref="H97:H98"/>
    <mergeCell ref="I97:I98"/>
    <mergeCell ref="K95:K96"/>
    <mergeCell ref="K97:K98"/>
    <mergeCell ref="J95:J96"/>
    <mergeCell ref="D95:D96"/>
    <mergeCell ref="I1:P1"/>
    <mergeCell ref="I91:I92"/>
    <mergeCell ref="G93:G94"/>
    <mergeCell ref="H93:H94"/>
    <mergeCell ref="I93:I94"/>
    <mergeCell ref="K83:K84"/>
    <mergeCell ref="J3:J4"/>
    <mergeCell ref="J93:J94"/>
    <mergeCell ref="J83:J84"/>
    <mergeCell ref="J85:J86"/>
    <mergeCell ref="J87:J88"/>
    <mergeCell ref="L3:P3"/>
    <mergeCell ref="K3:K4"/>
    <mergeCell ref="K85:K86"/>
    <mergeCell ref="K87:K88"/>
    <mergeCell ref="K89:K90"/>
    <mergeCell ref="K5:K8"/>
    <mergeCell ref="K81:K82"/>
    <mergeCell ref="K91:K92"/>
    <mergeCell ref="K93:K94"/>
    <mergeCell ref="J91:J92"/>
    <mergeCell ref="J5:J8"/>
    <mergeCell ref="B1:H1"/>
    <mergeCell ref="D81:D82"/>
    <mergeCell ref="K29:K31"/>
    <mergeCell ref="K32:K34"/>
    <mergeCell ref="K35:K36"/>
    <mergeCell ref="J35:J36"/>
    <mergeCell ref="J32:J34"/>
    <mergeCell ref="F105:H105"/>
    <mergeCell ref="F107:H107"/>
    <mergeCell ref="F106:H106"/>
    <mergeCell ref="F95:F96"/>
    <mergeCell ref="F104:I104"/>
    <mergeCell ref="I83:I84"/>
    <mergeCell ref="G85:G86"/>
    <mergeCell ref="H85:H86"/>
    <mergeCell ref="I85:I86"/>
    <mergeCell ref="G83:G84"/>
    <mergeCell ref="H83:H84"/>
    <mergeCell ref="F93:F94"/>
    <mergeCell ref="G87:G88"/>
    <mergeCell ref="H87:H88"/>
    <mergeCell ref="I87:I88"/>
    <mergeCell ref="I89:I90"/>
    <mergeCell ref="G89:G90"/>
    <mergeCell ref="H89:H90"/>
    <mergeCell ref="K51:K52"/>
    <mergeCell ref="J37:J38"/>
    <mergeCell ref="J43:J45"/>
    <mergeCell ref="K43:K45"/>
    <mergeCell ref="K46:K50"/>
    <mergeCell ref="J53:J54"/>
    <mergeCell ref="K53:K54"/>
    <mergeCell ref="E91:E92"/>
    <mergeCell ref="F91:F92"/>
    <mergeCell ref="E55:E56"/>
    <mergeCell ref="F55:F56"/>
    <mergeCell ref="I39:I42"/>
    <mergeCell ref="I51:I52"/>
    <mergeCell ref="I46:I50"/>
    <mergeCell ref="J46:J50"/>
    <mergeCell ref="H55:H56"/>
    <mergeCell ref="K37:K38"/>
    <mergeCell ref="J39:J42"/>
    <mergeCell ref="K39:K42"/>
    <mergeCell ref="F89:F90"/>
    <mergeCell ref="E39:E42"/>
    <mergeCell ref="E43:E45"/>
    <mergeCell ref="F39:F42"/>
    <mergeCell ref="F43:F45"/>
    <mergeCell ref="H37:H38"/>
    <mergeCell ref="D97:D98"/>
    <mergeCell ref="D91:D92"/>
    <mergeCell ref="D93:D94"/>
    <mergeCell ref="C83:C98"/>
    <mergeCell ref="D65:D66"/>
    <mergeCell ref="E65:E66"/>
    <mergeCell ref="F65:F66"/>
    <mergeCell ref="E95:E96"/>
    <mergeCell ref="B83:B98"/>
    <mergeCell ref="D83:D84"/>
    <mergeCell ref="D85:D86"/>
    <mergeCell ref="D87:D88"/>
    <mergeCell ref="D89:D90"/>
    <mergeCell ref="C74:C82"/>
    <mergeCell ref="B74:B82"/>
    <mergeCell ref="F81:F82"/>
    <mergeCell ref="E51:E52"/>
    <mergeCell ref="F51:F52"/>
    <mergeCell ref="D51:D52"/>
    <mergeCell ref="E32:E34"/>
    <mergeCell ref="D43:D45"/>
    <mergeCell ref="D29:D31"/>
    <mergeCell ref="D46:D50"/>
    <mergeCell ref="G32:G34"/>
    <mergeCell ref="F46:F50"/>
    <mergeCell ref="F29:F31"/>
    <mergeCell ref="E29:E31"/>
    <mergeCell ref="G37:G38"/>
    <mergeCell ref="G5:G8"/>
    <mergeCell ref="I29:I31"/>
    <mergeCell ref="H35:H36"/>
    <mergeCell ref="I35:I36"/>
    <mergeCell ref="B3:C3"/>
    <mergeCell ref="D3:E3"/>
    <mergeCell ref="D5:D8"/>
    <mergeCell ref="F3:F4"/>
    <mergeCell ref="I3:I4"/>
    <mergeCell ref="G3:G4"/>
    <mergeCell ref="H3:H4"/>
    <mergeCell ref="H5:H8"/>
    <mergeCell ref="I5:I8"/>
    <mergeCell ref="D24:D25"/>
    <mergeCell ref="E24:E25"/>
    <mergeCell ref="F24:F25"/>
    <mergeCell ref="G24:G25"/>
    <mergeCell ref="H24:H25"/>
    <mergeCell ref="I24:I25"/>
    <mergeCell ref="B5:B9"/>
    <mergeCell ref="C5:C9"/>
    <mergeCell ref="E5:E8"/>
    <mergeCell ref="F5:F8"/>
    <mergeCell ref="D16:D18"/>
    <mergeCell ref="J61:J62"/>
    <mergeCell ref="K61:K62"/>
    <mergeCell ref="D63:D64"/>
    <mergeCell ref="E63:E64"/>
    <mergeCell ref="F63:F64"/>
    <mergeCell ref="G63:G64"/>
    <mergeCell ref="H63:H64"/>
    <mergeCell ref="I63:I64"/>
    <mergeCell ref="J63:J64"/>
    <mergeCell ref="K63:K64"/>
    <mergeCell ref="B10:B12"/>
    <mergeCell ref="C10:C12"/>
    <mergeCell ref="G65:G66"/>
    <mergeCell ref="H65:H66"/>
    <mergeCell ref="I65:I66"/>
    <mergeCell ref="J65:J66"/>
    <mergeCell ref="D13:D14"/>
    <mergeCell ref="E13:E14"/>
    <mergeCell ref="F13:F14"/>
    <mergeCell ref="G13:G14"/>
    <mergeCell ref="H13:H14"/>
    <mergeCell ref="I13:I14"/>
    <mergeCell ref="J13:J14"/>
    <mergeCell ref="G29:G31"/>
    <mergeCell ref="B61:B69"/>
    <mergeCell ref="C61:C69"/>
    <mergeCell ref="D61:D62"/>
    <mergeCell ref="E61:E62"/>
    <mergeCell ref="F61:F62"/>
    <mergeCell ref="G61:G62"/>
    <mergeCell ref="D37:D38"/>
    <mergeCell ref="E37:E38"/>
    <mergeCell ref="C29:C60"/>
    <mergeCell ref="B29:B60"/>
    <mergeCell ref="K21:K23"/>
    <mergeCell ref="K55:K56"/>
    <mergeCell ref="J24:J25"/>
    <mergeCell ref="K24:K25"/>
    <mergeCell ref="B13:B28"/>
    <mergeCell ref="C13:C28"/>
    <mergeCell ref="E16:E18"/>
    <mergeCell ref="F16:F18"/>
    <mergeCell ref="G16:G18"/>
    <mergeCell ref="D55:D56"/>
    <mergeCell ref="G46:G50"/>
    <mergeCell ref="D26:D28"/>
    <mergeCell ref="D32:D34"/>
    <mergeCell ref="D35:D36"/>
    <mergeCell ref="D39:D42"/>
    <mergeCell ref="F32:F34"/>
    <mergeCell ref="H29:H31"/>
    <mergeCell ref="E46:E50"/>
    <mergeCell ref="G51:G52"/>
    <mergeCell ref="F35:F36"/>
    <mergeCell ref="G35:G36"/>
    <mergeCell ref="G39:G42"/>
    <mergeCell ref="G43:G45"/>
    <mergeCell ref="H51:H52"/>
    <mergeCell ref="K13:K14"/>
    <mergeCell ref="H16:H18"/>
    <mergeCell ref="I16:I18"/>
    <mergeCell ref="J16:J18"/>
    <mergeCell ref="K16:K18"/>
    <mergeCell ref="K26:K28"/>
    <mergeCell ref="K65:K66"/>
    <mergeCell ref="B70:B73"/>
    <mergeCell ref="C70:C73"/>
    <mergeCell ref="D19:D20"/>
    <mergeCell ref="E19:E20"/>
    <mergeCell ref="F19:F20"/>
    <mergeCell ref="G19:G20"/>
    <mergeCell ref="H19:H20"/>
    <mergeCell ref="I19:I20"/>
    <mergeCell ref="J19:J20"/>
    <mergeCell ref="K19:K20"/>
    <mergeCell ref="D21:D23"/>
    <mergeCell ref="E21:E23"/>
    <mergeCell ref="F21:F23"/>
    <mergeCell ref="G21:G23"/>
    <mergeCell ref="H21:H23"/>
    <mergeCell ref="I21:I23"/>
    <mergeCell ref="J21:J23"/>
  </mergeCells>
  <phoneticPr fontId="15" type="noConversion"/>
  <conditionalFormatting sqref="H55 H32:H53 H5:H29 H57:H100">
    <cfRule type="cellIs" dxfId="2" priority="10" stopIfTrue="1" operator="greaterThan">
      <formula>0</formula>
    </cfRule>
  </conditionalFormatting>
  <conditionalFormatting sqref="I107">
    <cfRule type="colorScale" priority="11">
      <colorScale>
        <cfvo type="percent" val="0"/>
        <cfvo type="percent" val="0.5"/>
        <cfvo type="percent" val="1"/>
        <color rgb="FFF8696B"/>
        <color rgb="FFFFEB84"/>
        <color rgb="FF63BE7B"/>
      </colorScale>
    </cfRule>
  </conditionalFormatting>
  <conditionalFormatting sqref="H61 H63 H65 H67:H75 H10 H15">
    <cfRule type="cellIs" dxfId="1" priority="7" stopIfTrue="1" operator="greaterThan">
      <formula>0</formula>
    </cfRule>
  </conditionalFormatting>
  <conditionalFormatting sqref="H99:H100">
    <cfRule type="cellIs" dxfId="0" priority="1" stopIfTrue="1" operator="greaterThan">
      <formula>0</formula>
    </cfRule>
  </conditionalFormatting>
  <dataValidations count="1">
    <dataValidation type="list" allowBlank="1" showInputMessage="1" showErrorMessage="1" sqref="O5:O101">
      <formula1>data_types</formula1>
    </dataValidation>
  </dataValidations>
  <pageMargins left="0.25" right="0.25" top="0.75" bottom="0.75" header="0.3" footer="0.3"/>
  <pageSetup paperSize="9" scale="63" fitToHeight="0" orientation="landscape" horizontalDpi="4294967293" r:id="rId1"/>
  <rowBreaks count="1" manualBreakCount="1">
    <brk id="50" min="1" max="15" man="1"/>
  </rowBreaks>
  <colBreaks count="1" manualBreakCount="1">
    <brk id="3" max="99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B1:O37"/>
  <sheetViews>
    <sheetView showGridLines="0" tabSelected="1" workbookViewId="0">
      <selection activeCell="H35" sqref="H35"/>
    </sheetView>
  </sheetViews>
  <sheetFormatPr defaultColWidth="12.28515625" defaultRowHeight="15"/>
  <cols>
    <col min="1" max="1" width="3.7109375" style="20" customWidth="1"/>
    <col min="2" max="16384" width="12.28515625" style="20"/>
  </cols>
  <sheetData>
    <row r="1" spans="2:15" customFormat="1" ht="33" customHeight="1">
      <c r="B1" s="253" t="s">
        <v>198</v>
      </c>
      <c r="C1" s="253"/>
      <c r="D1" s="253"/>
      <c r="E1" s="253"/>
      <c r="F1" s="253"/>
      <c r="G1" s="253"/>
      <c r="H1" s="253"/>
      <c r="I1" s="20"/>
      <c r="J1" s="112"/>
      <c r="K1" s="112"/>
      <c r="L1" s="112"/>
      <c r="M1" s="20"/>
      <c r="N1" s="17" t="s">
        <v>270</v>
      </c>
      <c r="O1" s="112"/>
    </row>
    <row r="2" spans="2:15" customFormat="1">
      <c r="B2" s="5"/>
      <c r="C2" s="16"/>
      <c r="D2" s="5"/>
      <c r="E2" s="16"/>
      <c r="K2" s="18"/>
      <c r="M2" s="16"/>
      <c r="N2" s="16"/>
      <c r="O2" s="5"/>
    </row>
    <row r="4" spans="2:15">
      <c r="D4" s="281" t="s">
        <v>226</v>
      </c>
      <c r="I4" s="281" t="s">
        <v>227</v>
      </c>
    </row>
    <row r="5" spans="2:15">
      <c r="D5" s="281"/>
      <c r="I5" s="281"/>
      <c r="M5" s="21"/>
      <c r="N5" s="22"/>
    </row>
    <row r="6" spans="2:15">
      <c r="M6" s="21"/>
      <c r="N6" s="22"/>
    </row>
    <row r="7" spans="2:15">
      <c r="M7" s="23"/>
      <c r="N7" s="22"/>
    </row>
    <row r="8" spans="2:15">
      <c r="M8" s="24"/>
      <c r="N8" s="22" t="s">
        <v>215</v>
      </c>
    </row>
    <row r="9" spans="2:15">
      <c r="M9" s="25"/>
      <c r="N9" s="22" t="s">
        <v>216</v>
      </c>
    </row>
    <row r="10" spans="2:15">
      <c r="J10" s="282" t="s">
        <v>225</v>
      </c>
      <c r="K10" s="26" t="s">
        <v>222</v>
      </c>
      <c r="M10" s="27"/>
      <c r="N10" s="22" t="s">
        <v>213</v>
      </c>
    </row>
    <row r="11" spans="2:15">
      <c r="J11" s="282"/>
      <c r="K11" s="28" t="s">
        <v>221</v>
      </c>
      <c r="M11" s="29"/>
      <c r="N11" s="22" t="s">
        <v>214</v>
      </c>
    </row>
    <row r="14" spans="2:15">
      <c r="B14" s="30" t="s">
        <v>208</v>
      </c>
      <c r="K14" s="30" t="s">
        <v>208</v>
      </c>
    </row>
    <row r="15" spans="2:15">
      <c r="B15" s="31" t="s">
        <v>209</v>
      </c>
      <c r="C15" s="280" t="s">
        <v>199</v>
      </c>
      <c r="J15" s="284" t="s">
        <v>200</v>
      </c>
      <c r="K15" s="31" t="s">
        <v>209</v>
      </c>
    </row>
    <row r="16" spans="2:15">
      <c r="B16" s="32" t="s">
        <v>210</v>
      </c>
      <c r="C16" s="280"/>
      <c r="J16" s="284"/>
      <c r="K16" s="32" t="s">
        <v>210</v>
      </c>
    </row>
    <row r="18" spans="2:11">
      <c r="B18" s="30" t="s">
        <v>204</v>
      </c>
      <c r="K18" s="30" t="s">
        <v>204</v>
      </c>
    </row>
    <row r="19" spans="2:11">
      <c r="B19" s="31" t="s">
        <v>205</v>
      </c>
      <c r="C19" s="285" t="s">
        <v>201</v>
      </c>
      <c r="J19" s="279" t="s">
        <v>202</v>
      </c>
      <c r="K19" s="31" t="s">
        <v>205</v>
      </c>
    </row>
    <row r="20" spans="2:11" ht="15" customHeight="1">
      <c r="B20" s="31" t="s">
        <v>206</v>
      </c>
      <c r="C20" s="285"/>
      <c r="J20" s="279"/>
      <c r="K20" s="31" t="s">
        <v>206</v>
      </c>
    </row>
    <row r="21" spans="2:11">
      <c r="B21" s="32" t="s">
        <v>207</v>
      </c>
      <c r="K21" s="32" t="s">
        <v>207</v>
      </c>
    </row>
    <row r="23" spans="2:11">
      <c r="B23" s="30" t="s">
        <v>206</v>
      </c>
      <c r="C23" s="283" t="s">
        <v>228</v>
      </c>
    </row>
    <row r="24" spans="2:11">
      <c r="B24" s="32" t="s">
        <v>224</v>
      </c>
      <c r="C24" s="283"/>
    </row>
    <row r="26" spans="2:11">
      <c r="B26" s="26" t="s">
        <v>222</v>
      </c>
      <c r="C26" s="280" t="s">
        <v>220</v>
      </c>
    </row>
    <row r="27" spans="2:11">
      <c r="B27" s="28" t="s">
        <v>221</v>
      </c>
      <c r="C27" s="280"/>
    </row>
    <row r="28" spans="2:11">
      <c r="B28" s="21"/>
    </row>
    <row r="29" spans="2:11">
      <c r="B29" s="26" t="s">
        <v>222</v>
      </c>
      <c r="C29" s="280" t="s">
        <v>223</v>
      </c>
      <c r="K29" s="21"/>
    </row>
    <row r="30" spans="2:11">
      <c r="B30" s="28" t="s">
        <v>221</v>
      </c>
      <c r="C30" s="280"/>
      <c r="J30" s="279" t="s">
        <v>217</v>
      </c>
      <c r="K30" s="30" t="s">
        <v>218</v>
      </c>
    </row>
    <row r="31" spans="2:11">
      <c r="J31" s="279"/>
      <c r="K31" s="32" t="s">
        <v>219</v>
      </c>
    </row>
    <row r="34" spans="4:9">
      <c r="D34" s="281" t="s">
        <v>229</v>
      </c>
      <c r="H34" s="21"/>
      <c r="I34" s="281" t="s">
        <v>230</v>
      </c>
    </row>
    <row r="35" spans="4:9">
      <c r="D35" s="281"/>
      <c r="F35" s="282" t="s">
        <v>203</v>
      </c>
      <c r="G35" s="26" t="s">
        <v>211</v>
      </c>
      <c r="H35" s="21"/>
      <c r="I35" s="281"/>
    </row>
    <row r="36" spans="4:9">
      <c r="F36" s="282"/>
      <c r="G36" s="28" t="s">
        <v>212</v>
      </c>
      <c r="H36" s="21"/>
    </row>
    <row r="37" spans="4:9">
      <c r="H37" s="21"/>
    </row>
  </sheetData>
  <mergeCells count="15">
    <mergeCell ref="B1:H1"/>
    <mergeCell ref="J19:J20"/>
    <mergeCell ref="C29:C30"/>
    <mergeCell ref="J30:J31"/>
    <mergeCell ref="D34:D35"/>
    <mergeCell ref="I34:I35"/>
    <mergeCell ref="F35:F36"/>
    <mergeCell ref="C23:C24"/>
    <mergeCell ref="C26:C27"/>
    <mergeCell ref="D4:D5"/>
    <mergeCell ref="I4:I5"/>
    <mergeCell ref="J10:J11"/>
    <mergeCell ref="C15:C16"/>
    <mergeCell ref="J15:J16"/>
    <mergeCell ref="C19:C20"/>
  </mergeCells>
  <phoneticPr fontId="15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CAN Protocol</vt:lpstr>
      <vt:lpstr>IGrebot's CAN</vt:lpstr>
      <vt:lpstr>CAN Messages Table</vt:lpstr>
      <vt:lpstr>Robot Architecture</vt:lpstr>
      <vt:lpstr>CAN_Bit_stuffing_ratio</vt:lpstr>
      <vt:lpstr>CAN_Bus_speed</vt:lpstr>
      <vt:lpstr>CAN_Fixed_size</vt:lpstr>
      <vt:lpstr>data_types</vt:lpstr>
      <vt:lpstr>'CAN Messages Table'!Print_Area</vt:lpstr>
      <vt:lpstr>'IGrebot''s CAN'!Print_Area</vt:lpstr>
      <vt:lpstr>'Robot Architecture'!Print_Area</vt:lpstr>
      <vt:lpstr>'CAN Messages Table'!Print_Titles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cp:lastPrinted>2013-04-14T13:20:56Z</cp:lastPrinted>
  <dcterms:created xsi:type="dcterms:W3CDTF">2012-03-19T19:34:20Z</dcterms:created>
  <dcterms:modified xsi:type="dcterms:W3CDTF">2013-04-15T21:00:14Z</dcterms:modified>
</cp:coreProperties>
</file>